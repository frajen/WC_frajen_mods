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0" yWindow="-120" windowWidth="14550" windowHeight="13170" activeTab="1"/>
  </bookViews>
  <sheets>
    <sheet name="Listing" sheetId="1" r:id="rId1"/>
    <sheet name="Randomizer" sheetId="2" r:id="rId2"/>
    <sheet name="Palette Match" sheetId="3" r:id="rId3"/>
  </sheets>
  <definedNames>
    <definedName name="_xlnm._FilterDatabase" localSheetId="2" hidden="1">'Palette Match'!$A$1:$Q$582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6" i="2"/>
  <c r="I15"/>
  <c r="I14"/>
  <c r="I13"/>
  <c r="M185" i="1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K146"/>
  <c r="K147" s="1"/>
  <c r="K148" s="1"/>
  <c r="K149" s="1"/>
  <c r="K150" s="1"/>
  <c r="K151" s="1"/>
  <c r="K152" s="1"/>
  <c r="K153" s="1"/>
  <c r="K154" s="1"/>
  <c r="K155" s="1"/>
  <c r="K156" s="1"/>
  <c r="K157" s="1"/>
  <c r="K158" s="1"/>
  <c r="K159" s="1"/>
  <c r="K160" s="1"/>
  <c r="K161" s="1"/>
  <c r="K162" s="1"/>
  <c r="K163" s="1"/>
  <c r="K164" s="1"/>
  <c r="K165" s="1"/>
  <c r="K166" s="1"/>
  <c r="K167" s="1"/>
  <c r="K168" s="1"/>
  <c r="K169" s="1"/>
  <c r="K170" s="1"/>
  <c r="K171" s="1"/>
  <c r="K172" s="1"/>
  <c r="K173" s="1"/>
  <c r="K174" s="1"/>
  <c r="K175" s="1"/>
  <c r="K176" s="1"/>
  <c r="K177" s="1"/>
  <c r="K178" s="1"/>
  <c r="K179" s="1"/>
  <c r="K180" s="1"/>
  <c r="K181" s="1"/>
  <c r="K182" s="1"/>
  <c r="K183" s="1"/>
  <c r="K184" s="1"/>
  <c r="K185" s="1"/>
  <c r="K145"/>
  <c r="G662"/>
  <c r="I662" s="1"/>
  <c r="G663"/>
  <c r="I663" s="1"/>
  <c r="I661"/>
  <c r="I660"/>
  <c r="I659"/>
  <c r="I658"/>
  <c r="I657"/>
  <c r="I656"/>
  <c r="I655"/>
  <c r="I654"/>
  <c r="I653"/>
  <c r="I652"/>
  <c r="I651"/>
  <c r="I650"/>
  <c r="I649"/>
  <c r="I648"/>
  <c r="I647"/>
  <c r="I646"/>
  <c r="I645"/>
  <c r="I644"/>
  <c r="I643"/>
  <c r="I642"/>
  <c r="I641"/>
  <c r="I640"/>
  <c r="I639"/>
  <c r="I638"/>
  <c r="I637"/>
  <c r="I636"/>
  <c r="I635"/>
  <c r="I634"/>
  <c r="I633"/>
  <c r="I632"/>
  <c r="I631"/>
  <c r="I630"/>
  <c r="I629"/>
  <c r="I628"/>
  <c r="I627"/>
  <c r="I626"/>
  <c r="I625"/>
  <c r="I624"/>
  <c r="I623"/>
  <c r="I622"/>
  <c r="I621"/>
  <c r="I620"/>
  <c r="G621"/>
  <c r="G622" s="1"/>
  <c r="G623" s="1"/>
  <c r="G624" s="1"/>
  <c r="G625" s="1"/>
  <c r="G626" s="1"/>
  <c r="G627" s="1"/>
  <c r="G628" s="1"/>
  <c r="G629" s="1"/>
  <c r="G630" s="1"/>
  <c r="G631" s="1"/>
  <c r="G632" s="1"/>
  <c r="G633" s="1"/>
  <c r="G634" s="1"/>
  <c r="G635" s="1"/>
  <c r="G636" s="1"/>
  <c r="G637" s="1"/>
  <c r="G638" s="1"/>
  <c r="G639" s="1"/>
  <c r="G640" s="1"/>
  <c r="G641" s="1"/>
  <c r="G642" s="1"/>
  <c r="G643" s="1"/>
  <c r="G644" s="1"/>
  <c r="G645" s="1"/>
  <c r="G646" s="1"/>
  <c r="G647" s="1"/>
  <c r="G648" s="1"/>
  <c r="G649" s="1"/>
  <c r="G650" s="1"/>
  <c r="G651" s="1"/>
  <c r="G652" s="1"/>
  <c r="G653" s="1"/>
  <c r="G654" s="1"/>
  <c r="G655" s="1"/>
  <c r="G656" s="1"/>
  <c r="G657" s="1"/>
  <c r="G658" s="1"/>
  <c r="G659" s="1"/>
  <c r="G660" s="1"/>
  <c r="G661" s="1"/>
  <c r="G620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C741"/>
  <c r="C742" s="1"/>
  <c r="C743" s="1"/>
  <c r="C744" s="1"/>
  <c r="C745" s="1"/>
  <c r="C746" s="1"/>
  <c r="C747" s="1"/>
  <c r="C748" s="1"/>
  <c r="C749" s="1"/>
  <c r="C750" s="1"/>
  <c r="C751" s="1"/>
  <c r="C752" s="1"/>
  <c r="C753" s="1"/>
  <c r="C754" s="1"/>
  <c r="C755" s="1"/>
  <c r="C756" s="1"/>
  <c r="C757" s="1"/>
  <c r="C758" s="1"/>
  <c r="C759" s="1"/>
  <c r="C760" s="1"/>
  <c r="C761" s="1"/>
  <c r="C762" s="1"/>
  <c r="C763" s="1"/>
  <c r="C764" s="1"/>
  <c r="C765" s="1"/>
  <c r="C766" s="1"/>
  <c r="C767" s="1"/>
  <c r="C768" s="1"/>
  <c r="C769" s="1"/>
  <c r="C770" s="1"/>
  <c r="C771" s="1"/>
  <c r="C772" s="1"/>
  <c r="C773" s="1"/>
  <c r="C774" s="1"/>
  <c r="C775" s="1"/>
  <c r="C776" s="1"/>
  <c r="C777" s="1"/>
  <c r="C778" s="1"/>
  <c r="C779" s="1"/>
  <c r="C780" s="1"/>
  <c r="C781" s="1"/>
  <c r="C782" s="1"/>
  <c r="N15" i="3"/>
  <c r="N26"/>
  <c r="N23"/>
  <c r="Q579"/>
  <c r="Q578"/>
  <c r="Q572"/>
  <c r="Q560"/>
  <c r="Q555"/>
  <c r="Q553"/>
  <c r="Q550"/>
  <c r="Q538"/>
  <c r="Q535"/>
  <c r="Q524"/>
  <c r="Q523"/>
  <c r="Q496"/>
  <c r="Q494"/>
  <c r="Q493"/>
  <c r="Q489"/>
  <c r="Q482"/>
  <c r="Q479"/>
  <c r="Q478"/>
  <c r="Q468"/>
  <c r="Q463"/>
  <c r="Q439"/>
  <c r="Q438"/>
  <c r="Q437"/>
  <c r="Q433"/>
  <c r="Q432"/>
  <c r="Q426"/>
  <c r="Q425"/>
  <c r="Q417"/>
  <c r="Q414"/>
  <c r="Q413"/>
  <c r="Q390"/>
  <c r="Q388"/>
  <c r="Q384"/>
  <c r="Q372"/>
  <c r="Q335"/>
  <c r="Q320"/>
  <c r="Q313"/>
  <c r="Q309"/>
  <c r="Q307"/>
  <c r="Q303"/>
  <c r="Q300"/>
  <c r="Q295"/>
  <c r="Q294"/>
  <c r="Q290"/>
  <c r="Q289"/>
  <c r="Q288"/>
  <c r="Q287"/>
  <c r="Q285"/>
  <c r="Q280"/>
  <c r="Q260"/>
  <c r="Q255"/>
  <c r="Q252"/>
  <c r="Q246"/>
  <c r="Q215"/>
  <c r="Q207"/>
  <c r="Q200"/>
  <c r="Q170"/>
  <c r="Q165"/>
  <c r="Q164"/>
  <c r="Q160"/>
  <c r="Q153"/>
  <c r="Q152"/>
  <c r="Q151"/>
  <c r="Q148"/>
  <c r="Q138"/>
  <c r="Q133"/>
  <c r="Q123"/>
  <c r="Q122"/>
  <c r="Q120"/>
  <c r="Q109"/>
  <c r="Q105"/>
  <c r="Q102"/>
  <c r="Q101"/>
  <c r="Q96"/>
  <c r="Q92"/>
  <c r="Q91"/>
  <c r="Q90"/>
  <c r="Q80"/>
  <c r="Q78"/>
  <c r="Q76"/>
  <c r="Q74"/>
  <c r="Q73"/>
  <c r="Q72"/>
  <c r="Q71"/>
  <c r="Q67"/>
  <c r="Q61"/>
  <c r="Q47"/>
  <c r="Q26"/>
  <c r="Q23"/>
  <c r="Q15"/>
  <c r="Q4"/>
  <c r="Q3"/>
  <c r="U138"/>
  <c r="V138" s="1"/>
  <c r="U137"/>
  <c r="V137" s="1"/>
  <c r="U136"/>
  <c r="V136" s="1"/>
  <c r="U135"/>
  <c r="V135" s="1"/>
  <c r="W135" s="1"/>
  <c r="U134"/>
  <c r="V134" s="1"/>
  <c r="U133"/>
  <c r="U132"/>
  <c r="V132" s="1"/>
  <c r="W132" s="1"/>
  <c r="U131"/>
  <c r="V131" s="1"/>
  <c r="U130"/>
  <c r="V130" s="1"/>
  <c r="U129"/>
  <c r="V129" s="1"/>
  <c r="U128"/>
  <c r="V128" s="1"/>
  <c r="U127"/>
  <c r="V127" s="1"/>
  <c r="W127" s="1"/>
  <c r="U126"/>
  <c r="V126" s="1"/>
  <c r="U125"/>
  <c r="U124"/>
  <c r="V124" s="1"/>
  <c r="W124" s="1"/>
  <c r="U123"/>
  <c r="V123" s="1"/>
  <c r="U122"/>
  <c r="V122" s="1"/>
  <c r="U121"/>
  <c r="V121" s="1"/>
  <c r="U120"/>
  <c r="V120" s="1"/>
  <c r="U119"/>
  <c r="V119" s="1"/>
  <c r="W119" s="1"/>
  <c r="U118"/>
  <c r="U117"/>
  <c r="U116"/>
  <c r="V116" s="1"/>
  <c r="W116" s="1"/>
  <c r="U115"/>
  <c r="V115" s="1"/>
  <c r="U114"/>
  <c r="V114" s="1"/>
  <c r="U113"/>
  <c r="V113" s="1"/>
  <c r="U112"/>
  <c r="V112" s="1"/>
  <c r="U111"/>
  <c r="V111" s="1"/>
  <c r="W111" s="1"/>
  <c r="U110"/>
  <c r="V110" s="1"/>
  <c r="U109"/>
  <c r="V109" s="1"/>
  <c r="W109" s="1"/>
  <c r="U108"/>
  <c r="V108" s="1"/>
  <c r="W108" s="1"/>
  <c r="U107"/>
  <c r="V107" s="1"/>
  <c r="W107" s="1"/>
  <c r="U106"/>
  <c r="V106" s="1"/>
  <c r="U105"/>
  <c r="V105" s="1"/>
  <c r="U104"/>
  <c r="V104" s="1"/>
  <c r="U103"/>
  <c r="V103" s="1"/>
  <c r="W103" s="1"/>
  <c r="U102"/>
  <c r="V102" s="1"/>
  <c r="U101"/>
  <c r="V101" s="1"/>
  <c r="W101" s="1"/>
  <c r="U100"/>
  <c r="V100" s="1"/>
  <c r="W100" s="1"/>
  <c r="U99"/>
  <c r="V99" s="1"/>
  <c r="U98"/>
  <c r="V98" s="1"/>
  <c r="U97"/>
  <c r="V97" s="1"/>
  <c r="U96"/>
  <c r="V96" s="1"/>
  <c r="W96" s="1"/>
  <c r="U95"/>
  <c r="V95" s="1"/>
  <c r="W95" s="1"/>
  <c r="U94"/>
  <c r="V94" s="1"/>
  <c r="U93"/>
  <c r="V93" s="1"/>
  <c r="W93" s="1"/>
  <c r="U92"/>
  <c r="V92" s="1"/>
  <c r="W92" s="1"/>
  <c r="U91"/>
  <c r="V91" s="1"/>
  <c r="W91" s="1"/>
  <c r="U90"/>
  <c r="V90" s="1"/>
  <c r="U89"/>
  <c r="V89" s="1"/>
  <c r="U88"/>
  <c r="V88" s="1"/>
  <c r="W88" s="1"/>
  <c r="U87"/>
  <c r="V87" s="1"/>
  <c r="W87" s="1"/>
  <c r="U86"/>
  <c r="V86" s="1"/>
  <c r="U85"/>
  <c r="V85" s="1"/>
  <c r="W85" s="1"/>
  <c r="U84"/>
  <c r="V84" s="1"/>
  <c r="W84" s="1"/>
  <c r="U83"/>
  <c r="V83" s="1"/>
  <c r="W83" s="1"/>
  <c r="U82"/>
  <c r="V82" s="1"/>
  <c r="U81"/>
  <c r="V81" s="1"/>
  <c r="U80"/>
  <c r="V80" s="1"/>
  <c r="U79"/>
  <c r="V79" s="1"/>
  <c r="W79" s="1"/>
  <c r="U78"/>
  <c r="V78" s="1"/>
  <c r="U77"/>
  <c r="V77" s="1"/>
  <c r="W77" s="1"/>
  <c r="U76"/>
  <c r="V76" s="1"/>
  <c r="W76" s="1"/>
  <c r="U75"/>
  <c r="V75" s="1"/>
  <c r="U74"/>
  <c r="V74" s="1"/>
  <c r="U73"/>
  <c r="V73" s="1"/>
  <c r="U72"/>
  <c r="V72" s="1"/>
  <c r="W72" s="1"/>
  <c r="U71"/>
  <c r="V71" s="1"/>
  <c r="W71" s="1"/>
  <c r="U70"/>
  <c r="U69"/>
  <c r="V69" s="1"/>
  <c r="W69" s="1"/>
  <c r="U68"/>
  <c r="V68" s="1"/>
  <c r="W68" s="1"/>
  <c r="U67"/>
  <c r="V67" s="1"/>
  <c r="U66"/>
  <c r="V66" s="1"/>
  <c r="U65"/>
  <c r="V65" s="1"/>
  <c r="U64"/>
  <c r="V64" s="1"/>
  <c r="U63"/>
  <c r="V63" s="1"/>
  <c r="W63" s="1"/>
  <c r="U62"/>
  <c r="V62" s="1"/>
  <c r="U61"/>
  <c r="V61" s="1"/>
  <c r="W61" s="1"/>
  <c r="U60"/>
  <c r="V60" s="1"/>
  <c r="W60" s="1"/>
  <c r="U59"/>
  <c r="V59" s="1"/>
  <c r="W59" s="1"/>
  <c r="U58"/>
  <c r="V58" s="1"/>
  <c r="U57"/>
  <c r="V57" s="1"/>
  <c r="U56"/>
  <c r="V56" s="1"/>
  <c r="U55"/>
  <c r="V55" s="1"/>
  <c r="W55" s="1"/>
  <c r="U54"/>
  <c r="V54" s="1"/>
  <c r="U53"/>
  <c r="V53" s="1"/>
  <c r="W53" s="1"/>
  <c r="U52"/>
  <c r="V52" s="1"/>
  <c r="W52" s="1"/>
  <c r="U51"/>
  <c r="V51" s="1"/>
  <c r="U50"/>
  <c r="V50" s="1"/>
  <c r="U49"/>
  <c r="V49" s="1"/>
  <c r="U48"/>
  <c r="V48" s="1"/>
  <c r="U47"/>
  <c r="V47" s="1"/>
  <c r="W47" s="1"/>
  <c r="U46"/>
  <c r="V46" s="1"/>
  <c r="U45"/>
  <c r="V45" s="1"/>
  <c r="W45" s="1"/>
  <c r="U44"/>
  <c r="V44" s="1"/>
  <c r="W44" s="1"/>
  <c r="U43"/>
  <c r="V43" s="1"/>
  <c r="W43" s="1"/>
  <c r="U42"/>
  <c r="V42" s="1"/>
  <c r="U41"/>
  <c r="V41" s="1"/>
  <c r="U40"/>
  <c r="V40" s="1"/>
  <c r="W40" s="1"/>
  <c r="U39"/>
  <c r="V39" s="1"/>
  <c r="W39" s="1"/>
  <c r="U38"/>
  <c r="V38" s="1"/>
  <c r="U37"/>
  <c r="V37" s="1"/>
  <c r="W37" s="1"/>
  <c r="U36"/>
  <c r="V36" s="1"/>
  <c r="W36" s="1"/>
  <c r="U35"/>
  <c r="V35" s="1"/>
  <c r="W35" s="1"/>
  <c r="U34"/>
  <c r="V34" s="1"/>
  <c r="U33"/>
  <c r="V33" s="1"/>
  <c r="U32"/>
  <c r="V32" s="1"/>
  <c r="W32" s="1"/>
  <c r="U31"/>
  <c r="V31" s="1"/>
  <c r="W31" s="1"/>
  <c r="U30"/>
  <c r="V30" s="1"/>
  <c r="U29"/>
  <c r="V29" s="1"/>
  <c r="W29" s="1"/>
  <c r="U28"/>
  <c r="V28" s="1"/>
  <c r="W28" s="1"/>
  <c r="U27"/>
  <c r="V27" s="1"/>
  <c r="U26"/>
  <c r="V26" s="1"/>
  <c r="U25"/>
  <c r="V25" s="1"/>
  <c r="U24"/>
  <c r="V24" s="1"/>
  <c r="U23"/>
  <c r="V23" s="1"/>
  <c r="W23" s="1"/>
  <c r="U22"/>
  <c r="V22" s="1"/>
  <c r="U21"/>
  <c r="V21" s="1"/>
  <c r="W21" s="1"/>
  <c r="U20"/>
  <c r="V20" s="1"/>
  <c r="W20" s="1"/>
  <c r="U19"/>
  <c r="V19" s="1"/>
  <c r="U18"/>
  <c r="V18" s="1"/>
  <c r="U17"/>
  <c r="V17" s="1"/>
  <c r="U16"/>
  <c r="V16" s="1"/>
  <c r="U15"/>
  <c r="V15" s="1"/>
  <c r="W15" s="1"/>
  <c r="U14"/>
  <c r="U13"/>
  <c r="V13" s="1"/>
  <c r="W13" s="1"/>
  <c r="U12"/>
  <c r="V12" s="1"/>
  <c r="W12" s="1"/>
  <c r="U11"/>
  <c r="V11" s="1"/>
  <c r="U10"/>
  <c r="V10" s="1"/>
  <c r="U9"/>
  <c r="V9" s="1"/>
  <c r="W9" s="1"/>
  <c r="H9" i="2"/>
  <c r="M144" i="1"/>
  <c r="O17"/>
  <c r="O16"/>
  <c r="O15"/>
  <c r="O14"/>
  <c r="O13"/>
  <c r="O12"/>
  <c r="O11"/>
  <c r="O10"/>
  <c r="O9"/>
  <c r="O8"/>
  <c r="O7"/>
  <c r="O6"/>
  <c r="O5"/>
  <c r="O4"/>
  <c r="F740"/>
  <c r="F739"/>
  <c r="F738"/>
  <c r="F737"/>
  <c r="F736"/>
  <c r="F735"/>
  <c r="F734"/>
  <c r="F733"/>
  <c r="F732"/>
  <c r="F731"/>
  <c r="F730"/>
  <c r="F729"/>
  <c r="F728"/>
  <c r="F727"/>
  <c r="F726"/>
  <c r="F725"/>
  <c r="F724"/>
  <c r="F723"/>
  <c r="F722"/>
  <c r="F721"/>
  <c r="F720"/>
  <c r="F719"/>
  <c r="F718"/>
  <c r="F717"/>
  <c r="F716"/>
  <c r="F715"/>
  <c r="F714"/>
  <c r="F713"/>
  <c r="F712"/>
  <c r="F711"/>
  <c r="F710"/>
  <c r="F709"/>
  <c r="F708"/>
  <c r="F707"/>
  <c r="F706"/>
  <c r="F705"/>
  <c r="F704"/>
  <c r="F703"/>
  <c r="F702"/>
  <c r="F701"/>
  <c r="F700"/>
  <c r="F699"/>
  <c r="F698"/>
  <c r="F697"/>
  <c r="F696"/>
  <c r="F695"/>
  <c r="F694"/>
  <c r="F693"/>
  <c r="F692"/>
  <c r="F691"/>
  <c r="F690"/>
  <c r="F689"/>
  <c r="F688"/>
  <c r="F687"/>
  <c r="F686"/>
  <c r="F685"/>
  <c r="F684"/>
  <c r="F683"/>
  <c r="F682"/>
  <c r="F681"/>
  <c r="F680"/>
  <c r="F679"/>
  <c r="F678"/>
  <c r="F677"/>
  <c r="F676"/>
  <c r="F675"/>
  <c r="F674"/>
  <c r="F673"/>
  <c r="F672"/>
  <c r="F671"/>
  <c r="F670"/>
  <c r="F669"/>
  <c r="F668"/>
  <c r="F667"/>
  <c r="F666"/>
  <c r="F665"/>
  <c r="F664"/>
  <c r="F663"/>
  <c r="F662"/>
  <c r="F661"/>
  <c r="F660"/>
  <c r="F659"/>
  <c r="F658"/>
  <c r="F657"/>
  <c r="F656"/>
  <c r="F655"/>
  <c r="F654"/>
  <c r="F653"/>
  <c r="F652"/>
  <c r="F651"/>
  <c r="F650"/>
  <c r="F649"/>
  <c r="F648"/>
  <c r="F647"/>
  <c r="F646"/>
  <c r="F645"/>
  <c r="F644"/>
  <c r="F643"/>
  <c r="F642"/>
  <c r="F641"/>
  <c r="F640"/>
  <c r="F639"/>
  <c r="F638"/>
  <c r="F637"/>
  <c r="F636"/>
  <c r="F635"/>
  <c r="F634"/>
  <c r="F633"/>
  <c r="F632"/>
  <c r="F631"/>
  <c r="F630"/>
  <c r="F629"/>
  <c r="F628"/>
  <c r="F627"/>
  <c r="F626"/>
  <c r="F625"/>
  <c r="F624"/>
  <c r="F623"/>
  <c r="F622"/>
  <c r="F621"/>
  <c r="F620"/>
  <c r="F619"/>
  <c r="F618"/>
  <c r="F617"/>
  <c r="F616"/>
  <c r="F615"/>
  <c r="F614"/>
  <c r="F613"/>
  <c r="F612"/>
  <c r="F611"/>
  <c r="F610"/>
  <c r="F609"/>
  <c r="F608"/>
  <c r="F607"/>
  <c r="F606"/>
  <c r="F605"/>
  <c r="F604"/>
  <c r="F603"/>
  <c r="F602"/>
  <c r="F601"/>
  <c r="F600"/>
  <c r="F599"/>
  <c r="F598"/>
  <c r="F597"/>
  <c r="F596"/>
  <c r="F595"/>
  <c r="F594"/>
  <c r="F593"/>
  <c r="F592"/>
  <c r="F591"/>
  <c r="F590"/>
  <c r="F589"/>
  <c r="F588"/>
  <c r="F587"/>
  <c r="F586"/>
  <c r="F585"/>
  <c r="F584"/>
  <c r="F583"/>
  <c r="F582"/>
  <c r="F581"/>
  <c r="F580"/>
  <c r="F579"/>
  <c r="F578"/>
  <c r="F577"/>
  <c r="F576"/>
  <c r="F575"/>
  <c r="F574"/>
  <c r="F573"/>
  <c r="F572"/>
  <c r="F571"/>
  <c r="F570"/>
  <c r="F569"/>
  <c r="F568"/>
  <c r="F567"/>
  <c r="F566"/>
  <c r="F565"/>
  <c r="F564"/>
  <c r="F563"/>
  <c r="F562"/>
  <c r="F561"/>
  <c r="F560"/>
  <c r="F559"/>
  <c r="F558"/>
  <c r="F557"/>
  <c r="F556"/>
  <c r="F555"/>
  <c r="F554"/>
  <c r="F553"/>
  <c r="F552"/>
  <c r="F551"/>
  <c r="F550"/>
  <c r="F549"/>
  <c r="F548"/>
  <c r="F547"/>
  <c r="F546"/>
  <c r="F545"/>
  <c r="F544"/>
  <c r="F543"/>
  <c r="F542"/>
  <c r="F541"/>
  <c r="F540"/>
  <c r="F539"/>
  <c r="F538"/>
  <c r="F537"/>
  <c r="F536"/>
  <c r="F535"/>
  <c r="F534"/>
  <c r="F533"/>
  <c r="F532"/>
  <c r="F531"/>
  <c r="F530"/>
  <c r="F529"/>
  <c r="F528"/>
  <c r="F527"/>
  <c r="F526"/>
  <c r="F525"/>
  <c r="F524"/>
  <c r="F523"/>
  <c r="F522"/>
  <c r="F521"/>
  <c r="F520"/>
  <c r="F519"/>
  <c r="F518"/>
  <c r="F517"/>
  <c r="F516"/>
  <c r="F515"/>
  <c r="F514"/>
  <c r="F513"/>
  <c r="F512"/>
  <c r="F511"/>
  <c r="F510"/>
  <c r="F509"/>
  <c r="F508"/>
  <c r="F507"/>
  <c r="F506"/>
  <c r="F505"/>
  <c r="F504"/>
  <c r="F503"/>
  <c r="F502"/>
  <c r="F501"/>
  <c r="F500"/>
  <c r="F499"/>
  <c r="F498"/>
  <c r="F497"/>
  <c r="F496"/>
  <c r="F495"/>
  <c r="F494"/>
  <c r="F493"/>
  <c r="F492"/>
  <c r="F491"/>
  <c r="F490"/>
  <c r="F489"/>
  <c r="F488"/>
  <c r="F487"/>
  <c r="F486"/>
  <c r="F485"/>
  <c r="F484"/>
  <c r="F483"/>
  <c r="F482"/>
  <c r="F481"/>
  <c r="F480"/>
  <c r="F479"/>
  <c r="F478"/>
  <c r="F477"/>
  <c r="F476"/>
  <c r="F475"/>
  <c r="F474"/>
  <c r="F473"/>
  <c r="F472"/>
  <c r="F471"/>
  <c r="F470"/>
  <c r="F469"/>
  <c r="F468"/>
  <c r="F467"/>
  <c r="F466"/>
  <c r="F465"/>
  <c r="F464"/>
  <c r="F463"/>
  <c r="F462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C740"/>
  <c r="E264"/>
  <c r="W56" i="3" l="1"/>
  <c r="W27"/>
  <c r="W16"/>
  <c r="W112"/>
  <c r="W64"/>
  <c r="W120"/>
  <c r="W51"/>
  <c r="W128"/>
  <c r="W19"/>
  <c r="W75"/>
  <c r="W123"/>
  <c r="W54"/>
  <c r="W110"/>
  <c r="W11"/>
  <c r="W67"/>
  <c r="W115"/>
  <c r="W136"/>
  <c r="W24"/>
  <c r="W46"/>
  <c r="W80"/>
  <c r="W102"/>
  <c r="W99"/>
  <c r="W38"/>
  <c r="W94"/>
  <c r="W30"/>
  <c r="W86"/>
  <c r="W22"/>
  <c r="W48"/>
  <c r="W78"/>
  <c r="W104"/>
  <c r="W126"/>
  <c r="V14"/>
  <c r="W14" s="1"/>
  <c r="V70"/>
  <c r="W70" s="1"/>
  <c r="V118"/>
  <c r="W118" s="1"/>
  <c r="W131"/>
  <c r="W10"/>
  <c r="W18"/>
  <c r="W26"/>
  <c r="W34"/>
  <c r="W42"/>
  <c r="W50"/>
  <c r="W58"/>
  <c r="W66"/>
  <c r="W74"/>
  <c r="W82"/>
  <c r="W90"/>
  <c r="W98"/>
  <c r="W106"/>
  <c r="W114"/>
  <c r="V117"/>
  <c r="W117" s="1"/>
  <c r="W122"/>
  <c r="V125"/>
  <c r="W125" s="1"/>
  <c r="W130"/>
  <c r="V133"/>
  <c r="W133" s="1"/>
  <c r="W138"/>
  <c r="W17"/>
  <c r="W25"/>
  <c r="W33"/>
  <c r="W41"/>
  <c r="W49"/>
  <c r="W57"/>
  <c r="W65"/>
  <c r="W73"/>
  <c r="W81"/>
  <c r="W89"/>
  <c r="W97"/>
  <c r="W105"/>
  <c r="W113"/>
  <c r="W121"/>
  <c r="W129"/>
  <c r="W137"/>
  <c r="W62"/>
  <c r="W134"/>
  <c r="B48" i="2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E2"/>
  <c r="B26"/>
  <c r="B25"/>
  <c r="B24"/>
  <c r="B23"/>
  <c r="B22"/>
  <c r="B21"/>
  <c r="B20"/>
  <c r="B19"/>
  <c r="B18"/>
  <c r="B17"/>
  <c r="B16"/>
  <c r="B15"/>
  <c r="B14"/>
  <c r="B13"/>
  <c r="B12"/>
  <c r="B9"/>
  <c r="B8"/>
  <c r="B7"/>
  <c r="B6"/>
  <c r="B5"/>
  <c r="B4"/>
  <c r="B3"/>
  <c r="C9"/>
  <c r="C8"/>
  <c r="C7"/>
  <c r="C6"/>
  <c r="C5"/>
  <c r="C4"/>
  <c r="C3"/>
  <c r="D64"/>
  <c r="D63"/>
  <c r="D62"/>
  <c r="D61"/>
  <c r="D60"/>
  <c r="D59"/>
  <c r="D58"/>
  <c r="D57"/>
  <c r="D56"/>
  <c r="D55"/>
  <c r="D54"/>
  <c r="D53"/>
  <c r="D52"/>
  <c r="D51"/>
  <c r="F51" s="1"/>
  <c r="D70"/>
  <c r="D69"/>
  <c r="D68"/>
  <c r="D67"/>
  <c r="D66"/>
  <c r="D65"/>
  <c r="K1" i="1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I112"/>
  <c r="G113"/>
  <c r="I113" s="1"/>
  <c r="E159"/>
  <c r="C160"/>
  <c r="C161" s="1"/>
  <c r="G114" l="1"/>
  <c r="G115" s="1"/>
  <c r="G116" s="1"/>
  <c r="G117" s="1"/>
  <c r="G118" s="1"/>
  <c r="G119" s="1"/>
  <c r="G120" s="1"/>
  <c r="G121" s="1"/>
  <c r="G122" s="1"/>
  <c r="G123" s="1"/>
  <c r="D3" i="2"/>
  <c r="F3" s="1"/>
  <c r="D7"/>
  <c r="D6"/>
  <c r="D5"/>
  <c r="D4"/>
  <c r="D8"/>
  <c r="D9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C162" i="1"/>
  <c r="E161"/>
  <c r="E160"/>
  <c r="I114"/>
  <c r="I115"/>
  <c r="I122"/>
  <c r="I121"/>
  <c r="I120"/>
  <c r="I119"/>
  <c r="I118"/>
  <c r="I117"/>
  <c r="I116"/>
  <c r="G124" l="1"/>
  <c r="I123"/>
  <c r="F4" i="2"/>
  <c r="F5" s="1"/>
  <c r="F6" s="1"/>
  <c r="F7" s="1"/>
  <c r="F8" s="1"/>
  <c r="F9" s="1"/>
  <c r="F29"/>
  <c r="C163" i="1"/>
  <c r="E162"/>
  <c r="G125" l="1"/>
  <c r="I124"/>
  <c r="F30" i="2"/>
  <c r="F31" s="1"/>
  <c r="F32" s="1"/>
  <c r="F33" s="1"/>
  <c r="F34" s="1"/>
  <c r="F35" s="1"/>
  <c r="F36" s="1"/>
  <c r="F37" s="1"/>
  <c r="F38" s="1"/>
  <c r="F39" s="1"/>
  <c r="F40" s="1"/>
  <c r="F41" s="1"/>
  <c r="F42" s="1"/>
  <c r="C164" i="1"/>
  <c r="E163"/>
  <c r="G126" l="1"/>
  <c r="I125"/>
  <c r="C165"/>
  <c r="E164"/>
  <c r="G127" l="1"/>
  <c r="I126"/>
  <c r="C166"/>
  <c r="E165"/>
  <c r="G128" l="1"/>
  <c r="I127"/>
  <c r="C167"/>
  <c r="E166"/>
  <c r="G129" l="1"/>
  <c r="I128"/>
  <c r="C168"/>
  <c r="E167"/>
  <c r="G130" l="1"/>
  <c r="I129"/>
  <c r="C169"/>
  <c r="E168"/>
  <c r="G131" l="1"/>
  <c r="I130"/>
  <c r="C170"/>
  <c r="E169"/>
  <c r="G132" l="1"/>
  <c r="I131"/>
  <c r="C171"/>
  <c r="E170"/>
  <c r="G133" l="1"/>
  <c r="I132"/>
  <c r="C172"/>
  <c r="E171"/>
  <c r="G134" l="1"/>
  <c r="I133"/>
  <c r="C173"/>
  <c r="E172"/>
  <c r="G135" l="1"/>
  <c r="I134"/>
  <c r="C174"/>
  <c r="E173"/>
  <c r="G136" l="1"/>
  <c r="I135"/>
  <c r="C175"/>
  <c r="E174"/>
  <c r="G137" l="1"/>
  <c r="I136"/>
  <c r="C176"/>
  <c r="E175"/>
  <c r="G138" l="1"/>
  <c r="I137"/>
  <c r="C177"/>
  <c r="E176"/>
  <c r="G139" l="1"/>
  <c r="I138"/>
  <c r="C178"/>
  <c r="E177"/>
  <c r="G140" l="1"/>
  <c r="I139"/>
  <c r="C179"/>
  <c r="E178"/>
  <c r="G141" l="1"/>
  <c r="I140"/>
  <c r="C180"/>
  <c r="E179"/>
  <c r="G142" l="1"/>
  <c r="I141"/>
  <c r="C181"/>
  <c r="E180"/>
  <c r="G143" l="1"/>
  <c r="I142"/>
  <c r="C182"/>
  <c r="E181"/>
  <c r="G144" l="1"/>
  <c r="I143"/>
  <c r="C183"/>
  <c r="E182"/>
  <c r="G145" l="1"/>
  <c r="I144"/>
  <c r="C184"/>
  <c r="E183"/>
  <c r="G146" l="1"/>
  <c r="I145"/>
  <c r="C185"/>
  <c r="E184"/>
  <c r="G147" l="1"/>
  <c r="I146"/>
  <c r="C186"/>
  <c r="E185"/>
  <c r="G148" l="1"/>
  <c r="I147"/>
  <c r="C187"/>
  <c r="E186"/>
  <c r="G149" l="1"/>
  <c r="I148"/>
  <c r="C188"/>
  <c r="E187"/>
  <c r="G150" l="1"/>
  <c r="I149"/>
  <c r="C189"/>
  <c r="E188"/>
  <c r="G151" l="1"/>
  <c r="I150"/>
  <c r="C190"/>
  <c r="E189"/>
  <c r="G152" l="1"/>
  <c r="I151"/>
  <c r="C191"/>
  <c r="E190"/>
  <c r="G153" l="1"/>
  <c r="I152"/>
  <c r="C192"/>
  <c r="E191"/>
  <c r="G154" l="1"/>
  <c r="I153"/>
  <c r="C193"/>
  <c r="E192"/>
  <c r="G155" l="1"/>
  <c r="I154"/>
  <c r="C194"/>
  <c r="E193"/>
  <c r="G156" l="1"/>
  <c r="I155"/>
  <c r="C195"/>
  <c r="E194"/>
  <c r="G157" l="1"/>
  <c r="I156"/>
  <c r="C196"/>
  <c r="E195"/>
  <c r="G158" l="1"/>
  <c r="I157"/>
  <c r="C197"/>
  <c r="E196"/>
  <c r="G159" l="1"/>
  <c r="I158"/>
  <c r="C198"/>
  <c r="E197"/>
  <c r="G160" l="1"/>
  <c r="I159"/>
  <c r="C199"/>
  <c r="E198"/>
  <c r="G161" l="1"/>
  <c r="I160"/>
  <c r="C200"/>
  <c r="E199"/>
  <c r="G162" l="1"/>
  <c r="I161"/>
  <c r="C201"/>
  <c r="E200"/>
  <c r="G163" l="1"/>
  <c r="I162"/>
  <c r="C202"/>
  <c r="E201"/>
  <c r="G164" l="1"/>
  <c r="I163"/>
  <c r="C203"/>
  <c r="E202"/>
  <c r="G165" l="1"/>
  <c r="I164"/>
  <c r="C204"/>
  <c r="E203"/>
  <c r="G166" l="1"/>
  <c r="I165"/>
  <c r="C205"/>
  <c r="E204"/>
  <c r="G167" l="1"/>
  <c r="I166"/>
  <c r="C206"/>
  <c r="E205"/>
  <c r="G168" l="1"/>
  <c r="I167"/>
  <c r="C207"/>
  <c r="E206"/>
  <c r="G169" l="1"/>
  <c r="I168"/>
  <c r="C208"/>
  <c r="E207"/>
  <c r="G170" l="1"/>
  <c r="I169"/>
  <c r="C209"/>
  <c r="E208"/>
  <c r="G171" l="1"/>
  <c r="I170"/>
  <c r="C210"/>
  <c r="E209"/>
  <c r="G172" l="1"/>
  <c r="I171"/>
  <c r="C211"/>
  <c r="E210"/>
  <c r="G173" l="1"/>
  <c r="I172"/>
  <c r="C212"/>
  <c r="E211"/>
  <c r="G174" l="1"/>
  <c r="I173"/>
  <c r="C213"/>
  <c r="E212"/>
  <c r="G175" l="1"/>
  <c r="I174"/>
  <c r="C214"/>
  <c r="E213"/>
  <c r="G176" l="1"/>
  <c r="I175"/>
  <c r="C215"/>
  <c r="E214"/>
  <c r="G177" l="1"/>
  <c r="I176"/>
  <c r="C216"/>
  <c r="E215"/>
  <c r="G178" l="1"/>
  <c r="I177"/>
  <c r="C217"/>
  <c r="E216"/>
  <c r="G179" l="1"/>
  <c r="I178"/>
  <c r="C218"/>
  <c r="E217"/>
  <c r="G180" l="1"/>
  <c r="I179"/>
  <c r="C219"/>
  <c r="E218"/>
  <c r="G181" l="1"/>
  <c r="I180"/>
  <c r="C220"/>
  <c r="E219"/>
  <c r="G182" l="1"/>
  <c r="I181"/>
  <c r="C221"/>
  <c r="E220"/>
  <c r="G183" l="1"/>
  <c r="I182"/>
  <c r="C222"/>
  <c r="E221"/>
  <c r="G184" l="1"/>
  <c r="I183"/>
  <c r="C223"/>
  <c r="E222"/>
  <c r="G185" l="1"/>
  <c r="I184"/>
  <c r="C224"/>
  <c r="E223"/>
  <c r="G186" l="1"/>
  <c r="I185"/>
  <c r="C225"/>
  <c r="E224"/>
  <c r="G187" l="1"/>
  <c r="I186"/>
  <c r="C226"/>
  <c r="E225"/>
  <c r="G188" l="1"/>
  <c r="I187"/>
  <c r="C227"/>
  <c r="E226"/>
  <c r="G189" l="1"/>
  <c r="I188"/>
  <c r="C228"/>
  <c r="E227"/>
  <c r="G190" l="1"/>
  <c r="I189"/>
  <c r="C229"/>
  <c r="E228"/>
  <c r="G191" l="1"/>
  <c r="I190"/>
  <c r="C230"/>
  <c r="E229"/>
  <c r="G192" l="1"/>
  <c r="I191"/>
  <c r="C231"/>
  <c r="E230"/>
  <c r="G193" l="1"/>
  <c r="I192"/>
  <c r="C232"/>
  <c r="E231"/>
  <c r="G194" l="1"/>
  <c r="I193"/>
  <c r="C233"/>
  <c r="E232"/>
  <c r="G195" l="1"/>
  <c r="I194"/>
  <c r="C234"/>
  <c r="E233"/>
  <c r="G196" l="1"/>
  <c r="I195"/>
  <c r="C235"/>
  <c r="E234"/>
  <c r="G197" l="1"/>
  <c r="I196"/>
  <c r="C236"/>
  <c r="E235"/>
  <c r="G198" l="1"/>
  <c r="I197"/>
  <c r="C237"/>
  <c r="E236"/>
  <c r="G199" l="1"/>
  <c r="I198"/>
  <c r="C238"/>
  <c r="E237"/>
  <c r="G200" l="1"/>
  <c r="I199"/>
  <c r="C239"/>
  <c r="E238"/>
  <c r="G201" l="1"/>
  <c r="I200"/>
  <c r="C240"/>
  <c r="E239"/>
  <c r="G202" l="1"/>
  <c r="I201"/>
  <c r="C241"/>
  <c r="E240"/>
  <c r="G203" l="1"/>
  <c r="I202"/>
  <c r="C242"/>
  <c r="E241"/>
  <c r="G204" l="1"/>
  <c r="I203"/>
  <c r="C243"/>
  <c r="E242"/>
  <c r="G205" l="1"/>
  <c r="I204"/>
  <c r="C244"/>
  <c r="E243"/>
  <c r="G206" l="1"/>
  <c r="I205"/>
  <c r="C245"/>
  <c r="E244"/>
  <c r="G207" l="1"/>
  <c r="I206"/>
  <c r="C246"/>
  <c r="E245"/>
  <c r="G208" l="1"/>
  <c r="I207"/>
  <c r="C247"/>
  <c r="E246"/>
  <c r="G209" l="1"/>
  <c r="I208"/>
  <c r="C248"/>
  <c r="E247"/>
  <c r="G210" l="1"/>
  <c r="I209"/>
  <c r="C249"/>
  <c r="E248"/>
  <c r="G211" l="1"/>
  <c r="I210"/>
  <c r="C250"/>
  <c r="E249"/>
  <c r="G212" l="1"/>
  <c r="I211"/>
  <c r="C251"/>
  <c r="E250"/>
  <c r="G213" l="1"/>
  <c r="I212"/>
  <c r="C252"/>
  <c r="E251"/>
  <c r="G214" l="1"/>
  <c r="I213"/>
  <c r="C253"/>
  <c r="E252"/>
  <c r="G215" l="1"/>
  <c r="I214"/>
  <c r="C254"/>
  <c r="E253"/>
  <c r="G216" l="1"/>
  <c r="I215"/>
  <c r="C255"/>
  <c r="E254"/>
  <c r="G217" l="1"/>
  <c r="I216"/>
  <c r="C256"/>
  <c r="E255"/>
  <c r="G218" l="1"/>
  <c r="I217"/>
  <c r="C257"/>
  <c r="E256"/>
  <c r="G219" l="1"/>
  <c r="I218"/>
  <c r="C258"/>
  <c r="E257"/>
  <c r="G220" l="1"/>
  <c r="I219"/>
  <c r="C259"/>
  <c r="E258"/>
  <c r="G221" l="1"/>
  <c r="I220"/>
  <c r="C260"/>
  <c r="E259"/>
  <c r="G222" l="1"/>
  <c r="I221"/>
  <c r="C261"/>
  <c r="E260"/>
  <c r="G223" l="1"/>
  <c r="I222"/>
  <c r="C262"/>
  <c r="E261"/>
  <c r="G224" l="1"/>
  <c r="I223"/>
  <c r="C263"/>
  <c r="E262"/>
  <c r="G225" l="1"/>
  <c r="I224"/>
  <c r="C264"/>
  <c r="E263"/>
  <c r="G226" l="1"/>
  <c r="I225"/>
  <c r="C265"/>
  <c r="G227" l="1"/>
  <c r="I226"/>
  <c r="C266"/>
  <c r="G228" l="1"/>
  <c r="I227"/>
  <c r="C267"/>
  <c r="G229" l="1"/>
  <c r="I228"/>
  <c r="C268"/>
  <c r="G230" l="1"/>
  <c r="I229"/>
  <c r="C269"/>
  <c r="G231" l="1"/>
  <c r="I230"/>
  <c r="C270"/>
  <c r="G232" l="1"/>
  <c r="I231"/>
  <c r="C271"/>
  <c r="G233" l="1"/>
  <c r="I232"/>
  <c r="C272"/>
  <c r="G234" l="1"/>
  <c r="I233"/>
  <c r="C273"/>
  <c r="G235" l="1"/>
  <c r="I234"/>
  <c r="C274"/>
  <c r="G236" l="1"/>
  <c r="I235"/>
  <c r="C275"/>
  <c r="G237" l="1"/>
  <c r="I236"/>
  <c r="C276"/>
  <c r="G238" l="1"/>
  <c r="I237"/>
  <c r="C277"/>
  <c r="G239" l="1"/>
  <c r="I238"/>
  <c r="C278"/>
  <c r="G240" l="1"/>
  <c r="I239"/>
  <c r="C279"/>
  <c r="G241" l="1"/>
  <c r="I240"/>
  <c r="C280"/>
  <c r="G242" l="1"/>
  <c r="I241"/>
  <c r="C281"/>
  <c r="G243" l="1"/>
  <c r="I242"/>
  <c r="C282"/>
  <c r="G244" l="1"/>
  <c r="I243"/>
  <c r="C283"/>
  <c r="G245" l="1"/>
  <c r="I244"/>
  <c r="C284"/>
  <c r="G246" l="1"/>
  <c r="I245"/>
  <c r="C285"/>
  <c r="G247" l="1"/>
  <c r="I246"/>
  <c r="C286"/>
  <c r="G248" l="1"/>
  <c r="I247"/>
  <c r="C287"/>
  <c r="G249" l="1"/>
  <c r="I248"/>
  <c r="C288"/>
  <c r="G250" l="1"/>
  <c r="I249"/>
  <c r="C289"/>
  <c r="G251" l="1"/>
  <c r="I250"/>
  <c r="C290"/>
  <c r="G252" l="1"/>
  <c r="I251"/>
  <c r="C291"/>
  <c r="G253" l="1"/>
  <c r="I252"/>
  <c r="C292"/>
  <c r="G254" l="1"/>
  <c r="I253"/>
  <c r="C293"/>
  <c r="G255" l="1"/>
  <c r="I254"/>
  <c r="C294"/>
  <c r="G256" l="1"/>
  <c r="I255"/>
  <c r="C295"/>
  <c r="G257" l="1"/>
  <c r="I256"/>
  <c r="C296"/>
  <c r="G258" l="1"/>
  <c r="I257"/>
  <c r="C297"/>
  <c r="G259" l="1"/>
  <c r="I258"/>
  <c r="C298"/>
  <c r="G260" l="1"/>
  <c r="I259"/>
  <c r="C299"/>
  <c r="G261" l="1"/>
  <c r="I260"/>
  <c r="C300"/>
  <c r="G262" l="1"/>
  <c r="I261"/>
  <c r="C301"/>
  <c r="G263" l="1"/>
  <c r="I262"/>
  <c r="C302"/>
  <c r="G264" l="1"/>
  <c r="I263"/>
  <c r="C303"/>
  <c r="G265" l="1"/>
  <c r="I264"/>
  <c r="C304"/>
  <c r="G266" l="1"/>
  <c r="I265"/>
  <c r="C305"/>
  <c r="G267" l="1"/>
  <c r="I266"/>
  <c r="C306"/>
  <c r="G268" l="1"/>
  <c r="I267"/>
  <c r="C307"/>
  <c r="G269" l="1"/>
  <c r="I268"/>
  <c r="C308"/>
  <c r="G270" l="1"/>
  <c r="I269"/>
  <c r="C309"/>
  <c r="G271" l="1"/>
  <c r="I270"/>
  <c r="C310"/>
  <c r="G272" l="1"/>
  <c r="I271"/>
  <c r="C311"/>
  <c r="G273" l="1"/>
  <c r="I272"/>
  <c r="C312"/>
  <c r="G274" l="1"/>
  <c r="I273"/>
  <c r="C313"/>
  <c r="G275" l="1"/>
  <c r="I274"/>
  <c r="C314"/>
  <c r="G276" l="1"/>
  <c r="I275"/>
  <c r="C315"/>
  <c r="G277" l="1"/>
  <c r="I276"/>
  <c r="C316"/>
  <c r="G278" l="1"/>
  <c r="I277"/>
  <c r="C317"/>
  <c r="G279" l="1"/>
  <c r="I278"/>
  <c r="C318"/>
  <c r="G280" l="1"/>
  <c r="I279"/>
  <c r="C319"/>
  <c r="G281" l="1"/>
  <c r="I280"/>
  <c r="C320"/>
  <c r="G282" l="1"/>
  <c r="I281"/>
  <c r="C321"/>
  <c r="G283" l="1"/>
  <c r="I282"/>
  <c r="C322"/>
  <c r="G284" l="1"/>
  <c r="I283"/>
  <c r="C323"/>
  <c r="G285" l="1"/>
  <c r="I284"/>
  <c r="C324"/>
  <c r="G286" l="1"/>
  <c r="I285"/>
  <c r="C325"/>
  <c r="G287" l="1"/>
  <c r="I286"/>
  <c r="C326"/>
  <c r="G288" l="1"/>
  <c r="I287"/>
  <c r="C327"/>
  <c r="G289" l="1"/>
  <c r="I288"/>
  <c r="C328"/>
  <c r="G290" l="1"/>
  <c r="I289"/>
  <c r="C329"/>
  <c r="G291" l="1"/>
  <c r="I290"/>
  <c r="C330"/>
  <c r="G292" l="1"/>
  <c r="I291"/>
  <c r="C331"/>
  <c r="G293" l="1"/>
  <c r="I292"/>
  <c r="C332"/>
  <c r="G294" l="1"/>
  <c r="I293"/>
  <c r="C333"/>
  <c r="G295" l="1"/>
  <c r="I294"/>
  <c r="C334"/>
  <c r="G296" l="1"/>
  <c r="I295"/>
  <c r="C335"/>
  <c r="G297" l="1"/>
  <c r="I296"/>
  <c r="C336"/>
  <c r="G298" l="1"/>
  <c r="I297"/>
  <c r="C337"/>
  <c r="G299" l="1"/>
  <c r="I298"/>
  <c r="C338"/>
  <c r="G300" l="1"/>
  <c r="I299"/>
  <c r="C339"/>
  <c r="G301" l="1"/>
  <c r="I300"/>
  <c r="C340"/>
  <c r="G302" l="1"/>
  <c r="I301"/>
  <c r="C341"/>
  <c r="G303" l="1"/>
  <c r="I302"/>
  <c r="C342"/>
  <c r="G304" l="1"/>
  <c r="I303"/>
  <c r="C343"/>
  <c r="G305" l="1"/>
  <c r="I304"/>
  <c r="C344"/>
  <c r="G306" l="1"/>
  <c r="I305"/>
  <c r="C345"/>
  <c r="G307" l="1"/>
  <c r="I306"/>
  <c r="C346"/>
  <c r="G308" l="1"/>
  <c r="I307"/>
  <c r="C347"/>
  <c r="G309" l="1"/>
  <c r="I308"/>
  <c r="C348"/>
  <c r="G310" l="1"/>
  <c r="I309"/>
  <c r="C349"/>
  <c r="G311" l="1"/>
  <c r="I310"/>
  <c r="C350"/>
  <c r="G312" l="1"/>
  <c r="I311"/>
  <c r="C351"/>
  <c r="G313" l="1"/>
  <c r="I312"/>
  <c r="C352"/>
  <c r="G314" l="1"/>
  <c r="I313"/>
  <c r="C353"/>
  <c r="G315" l="1"/>
  <c r="I314"/>
  <c r="C354"/>
  <c r="G316" l="1"/>
  <c r="I315"/>
  <c r="C355"/>
  <c r="G317" l="1"/>
  <c r="I316"/>
  <c r="C356"/>
  <c r="G318" l="1"/>
  <c r="I317"/>
  <c r="C357"/>
  <c r="G319" l="1"/>
  <c r="I318"/>
  <c r="C358"/>
  <c r="G320" l="1"/>
  <c r="I319"/>
  <c r="C359"/>
  <c r="G321" l="1"/>
  <c r="I320"/>
  <c r="C360"/>
  <c r="G322" l="1"/>
  <c r="I321"/>
  <c r="C361"/>
  <c r="G323" l="1"/>
  <c r="I322"/>
  <c r="C362"/>
  <c r="G324" l="1"/>
  <c r="I323"/>
  <c r="C363"/>
  <c r="G325" l="1"/>
  <c r="I324"/>
  <c r="C364"/>
  <c r="G326" l="1"/>
  <c r="I325"/>
  <c r="C365"/>
  <c r="G327" l="1"/>
  <c r="I326"/>
  <c r="C366"/>
  <c r="G328" l="1"/>
  <c r="I327"/>
  <c r="C367"/>
  <c r="G329" l="1"/>
  <c r="I328"/>
  <c r="C368"/>
  <c r="G330" l="1"/>
  <c r="I329"/>
  <c r="C369"/>
  <c r="G331" l="1"/>
  <c r="I330"/>
  <c r="C370"/>
  <c r="G332" l="1"/>
  <c r="I331"/>
  <c r="C371"/>
  <c r="G333" l="1"/>
  <c r="I332"/>
  <c r="C372"/>
  <c r="G334" l="1"/>
  <c r="I333"/>
  <c r="C373"/>
  <c r="G335" l="1"/>
  <c r="I334"/>
  <c r="C374"/>
  <c r="G336" l="1"/>
  <c r="I335"/>
  <c r="C375"/>
  <c r="G337" l="1"/>
  <c r="I336"/>
  <c r="C376"/>
  <c r="G338" l="1"/>
  <c r="I337"/>
  <c r="C377"/>
  <c r="G339" l="1"/>
  <c r="I338"/>
  <c r="C378"/>
  <c r="G340" l="1"/>
  <c r="I339"/>
  <c r="C379"/>
  <c r="G341" l="1"/>
  <c r="I340"/>
  <c r="C380"/>
  <c r="G342" l="1"/>
  <c r="I341"/>
  <c r="C381"/>
  <c r="G343" l="1"/>
  <c r="I342"/>
  <c r="C382"/>
  <c r="G344" l="1"/>
  <c r="I343"/>
  <c r="C383"/>
  <c r="G345" l="1"/>
  <c r="I344"/>
  <c r="C384"/>
  <c r="G346" l="1"/>
  <c r="I345"/>
  <c r="C385"/>
  <c r="G347" l="1"/>
  <c r="I346"/>
  <c r="C386"/>
  <c r="G348" l="1"/>
  <c r="I347"/>
  <c r="C387"/>
  <c r="G349" l="1"/>
  <c r="I348"/>
  <c r="C388"/>
  <c r="G350" l="1"/>
  <c r="I349"/>
  <c r="C389"/>
  <c r="G351" l="1"/>
  <c r="I350"/>
  <c r="C390"/>
  <c r="G352" l="1"/>
  <c r="I351"/>
  <c r="C391"/>
  <c r="G353" l="1"/>
  <c r="I352"/>
  <c r="C392"/>
  <c r="G354" l="1"/>
  <c r="I353"/>
  <c r="C393"/>
  <c r="G355" l="1"/>
  <c r="I354"/>
  <c r="C394"/>
  <c r="G356" l="1"/>
  <c r="I355"/>
  <c r="C395"/>
  <c r="G357" l="1"/>
  <c r="I356"/>
  <c r="C396"/>
  <c r="G358" l="1"/>
  <c r="I357"/>
  <c r="C397"/>
  <c r="G359" l="1"/>
  <c r="I358"/>
  <c r="C398"/>
  <c r="G360" l="1"/>
  <c r="I359"/>
  <c r="C399"/>
  <c r="G361" l="1"/>
  <c r="I360"/>
  <c r="C400"/>
  <c r="G362" l="1"/>
  <c r="I361"/>
  <c r="C401"/>
  <c r="G363" l="1"/>
  <c r="I362"/>
  <c r="C402"/>
  <c r="G364" l="1"/>
  <c r="I363"/>
  <c r="C403"/>
  <c r="G365" l="1"/>
  <c r="I364"/>
  <c r="C404"/>
  <c r="G366" l="1"/>
  <c r="I365"/>
  <c r="C405"/>
  <c r="G367" l="1"/>
  <c r="I366"/>
  <c r="C406"/>
  <c r="G368" l="1"/>
  <c r="I367"/>
  <c r="C407"/>
  <c r="G369" l="1"/>
  <c r="I368"/>
  <c r="C408"/>
  <c r="G370" l="1"/>
  <c r="I369"/>
  <c r="C409"/>
  <c r="G371" l="1"/>
  <c r="I370"/>
  <c r="C410"/>
  <c r="G372" l="1"/>
  <c r="I371"/>
  <c r="C411"/>
  <c r="G373" l="1"/>
  <c r="I372"/>
  <c r="C412"/>
  <c r="G374" l="1"/>
  <c r="I373"/>
  <c r="C413"/>
  <c r="G375" l="1"/>
  <c r="I374"/>
  <c r="C414"/>
  <c r="G376" l="1"/>
  <c r="I375"/>
  <c r="C415"/>
  <c r="G377" l="1"/>
  <c r="I376"/>
  <c r="C416"/>
  <c r="G378" l="1"/>
  <c r="I377"/>
  <c r="C417"/>
  <c r="G379" l="1"/>
  <c r="I378"/>
  <c r="C418"/>
  <c r="G380" l="1"/>
  <c r="I379"/>
  <c r="C419"/>
  <c r="G381" l="1"/>
  <c r="I380"/>
  <c r="C420"/>
  <c r="G382" l="1"/>
  <c r="I381"/>
  <c r="C421"/>
  <c r="G383" l="1"/>
  <c r="I382"/>
  <c r="C422"/>
  <c r="G384" l="1"/>
  <c r="I383"/>
  <c r="C423"/>
  <c r="G385" l="1"/>
  <c r="I384"/>
  <c r="C424"/>
  <c r="G386" l="1"/>
  <c r="I385"/>
  <c r="C425"/>
  <c r="G387" l="1"/>
  <c r="I386"/>
  <c r="C426"/>
  <c r="G388" l="1"/>
  <c r="I387"/>
  <c r="C427"/>
  <c r="G389" l="1"/>
  <c r="I388"/>
  <c r="C428"/>
  <c r="G390" l="1"/>
  <c r="I389"/>
  <c r="C429"/>
  <c r="G391" l="1"/>
  <c r="I390"/>
  <c r="C430"/>
  <c r="G392" l="1"/>
  <c r="I391"/>
  <c r="C431"/>
  <c r="G393" l="1"/>
  <c r="I392"/>
  <c r="C432"/>
  <c r="G394" l="1"/>
  <c r="I393"/>
  <c r="C433"/>
  <c r="G395" l="1"/>
  <c r="I394"/>
  <c r="C434"/>
  <c r="G396" l="1"/>
  <c r="I395"/>
  <c r="C435"/>
  <c r="G397" l="1"/>
  <c r="I396"/>
  <c r="C436"/>
  <c r="G398" l="1"/>
  <c r="I397"/>
  <c r="C437"/>
  <c r="G399" l="1"/>
  <c r="I398"/>
  <c r="C438"/>
  <c r="G400" l="1"/>
  <c r="I399"/>
  <c r="C439"/>
  <c r="G401" l="1"/>
  <c r="I400"/>
  <c r="C440"/>
  <c r="G402" l="1"/>
  <c r="I401"/>
  <c r="C441"/>
  <c r="G403" l="1"/>
  <c r="I402"/>
  <c r="C442"/>
  <c r="G404" l="1"/>
  <c r="I403"/>
  <c r="C443"/>
  <c r="G405" l="1"/>
  <c r="I404"/>
  <c r="C444"/>
  <c r="G406" l="1"/>
  <c r="I405"/>
  <c r="C445"/>
  <c r="G407" l="1"/>
  <c r="I406"/>
  <c r="C446"/>
  <c r="G408" l="1"/>
  <c r="I407"/>
  <c r="C447"/>
  <c r="G409" l="1"/>
  <c r="I408"/>
  <c r="C448"/>
  <c r="G410" l="1"/>
  <c r="I409"/>
  <c r="C449"/>
  <c r="G411" l="1"/>
  <c r="I410"/>
  <c r="C450"/>
  <c r="G412" l="1"/>
  <c r="I411"/>
  <c r="C451"/>
  <c r="G413" l="1"/>
  <c r="I412"/>
  <c r="C452"/>
  <c r="G414" l="1"/>
  <c r="I413"/>
  <c r="C453"/>
  <c r="G415" l="1"/>
  <c r="I414"/>
  <c r="C454"/>
  <c r="G416" l="1"/>
  <c r="I415"/>
  <c r="C455"/>
  <c r="G417" l="1"/>
  <c r="I416"/>
  <c r="C456"/>
  <c r="G418" l="1"/>
  <c r="I417"/>
  <c r="C457"/>
  <c r="G419" l="1"/>
  <c r="I418"/>
  <c r="C458"/>
  <c r="G420" l="1"/>
  <c r="I419"/>
  <c r="C459"/>
  <c r="G421" l="1"/>
  <c r="I420"/>
  <c r="C460"/>
  <c r="G422" l="1"/>
  <c r="I421"/>
  <c r="C461"/>
  <c r="G423" l="1"/>
  <c r="I422"/>
  <c r="C462"/>
  <c r="G424" l="1"/>
  <c r="I423"/>
  <c r="C463"/>
  <c r="G425" l="1"/>
  <c r="I424"/>
  <c r="C464"/>
  <c r="G426" l="1"/>
  <c r="I425"/>
  <c r="C465"/>
  <c r="G427" l="1"/>
  <c r="I426"/>
  <c r="C466"/>
  <c r="G428" l="1"/>
  <c r="I427"/>
  <c r="C467"/>
  <c r="G429" l="1"/>
  <c r="I428"/>
  <c r="C468"/>
  <c r="G430" l="1"/>
  <c r="I429"/>
  <c r="C469"/>
  <c r="G431" l="1"/>
  <c r="I430"/>
  <c r="C470"/>
  <c r="G432" l="1"/>
  <c r="I431"/>
  <c r="C471"/>
  <c r="G433" l="1"/>
  <c r="I432"/>
  <c r="C472"/>
  <c r="G434" l="1"/>
  <c r="I433"/>
  <c r="C473"/>
  <c r="G435" l="1"/>
  <c r="I434"/>
  <c r="C474"/>
  <c r="G436" l="1"/>
  <c r="I435"/>
  <c r="C475"/>
  <c r="G437" l="1"/>
  <c r="I436"/>
  <c r="C476"/>
  <c r="G438" l="1"/>
  <c r="I437"/>
  <c r="C477"/>
  <c r="G439" l="1"/>
  <c r="I438"/>
  <c r="C478"/>
  <c r="G440" l="1"/>
  <c r="I439"/>
  <c r="C479"/>
  <c r="G441" l="1"/>
  <c r="I440"/>
  <c r="C480"/>
  <c r="G442" l="1"/>
  <c r="I441"/>
  <c r="C481"/>
  <c r="G443" l="1"/>
  <c r="I442"/>
  <c r="C482"/>
  <c r="G444" l="1"/>
  <c r="I443"/>
  <c r="C483"/>
  <c r="G445" l="1"/>
  <c r="I444"/>
  <c r="C484"/>
  <c r="G446" l="1"/>
  <c r="I445"/>
  <c r="C485"/>
  <c r="G447" l="1"/>
  <c r="I446"/>
  <c r="C486"/>
  <c r="G448" l="1"/>
  <c r="I447"/>
  <c r="C487"/>
  <c r="G449" l="1"/>
  <c r="I448"/>
  <c r="C488"/>
  <c r="G450" l="1"/>
  <c r="I449"/>
  <c r="C489"/>
  <c r="G451" l="1"/>
  <c r="I450"/>
  <c r="C490"/>
  <c r="G452" l="1"/>
  <c r="I451"/>
  <c r="C491"/>
  <c r="G453" l="1"/>
  <c r="I452"/>
  <c r="C492"/>
  <c r="G454" l="1"/>
  <c r="I453"/>
  <c r="C493"/>
  <c r="G455" l="1"/>
  <c r="I454"/>
  <c r="C494"/>
  <c r="G456" l="1"/>
  <c r="I455"/>
  <c r="C495"/>
  <c r="G457" l="1"/>
  <c r="I456"/>
  <c r="C496"/>
  <c r="G458" l="1"/>
  <c r="I457"/>
  <c r="C497"/>
  <c r="G459" l="1"/>
  <c r="I458"/>
  <c r="C498"/>
  <c r="G460" l="1"/>
  <c r="I459"/>
  <c r="C499"/>
  <c r="G461" l="1"/>
  <c r="I460"/>
  <c r="C500"/>
  <c r="G462" l="1"/>
  <c r="I461"/>
  <c r="C501"/>
  <c r="G463" l="1"/>
  <c r="I462"/>
  <c r="C502"/>
  <c r="G464" l="1"/>
  <c r="I463"/>
  <c r="C503"/>
  <c r="G465" l="1"/>
  <c r="I464"/>
  <c r="C504"/>
  <c r="G466" l="1"/>
  <c r="I465"/>
  <c r="C505"/>
  <c r="G467" l="1"/>
  <c r="I466"/>
  <c r="C506"/>
  <c r="G468" l="1"/>
  <c r="I467"/>
  <c r="C507"/>
  <c r="G469" l="1"/>
  <c r="I468"/>
  <c r="C508"/>
  <c r="G470" l="1"/>
  <c r="I469"/>
  <c r="C509"/>
  <c r="G471" l="1"/>
  <c r="I470"/>
  <c r="C510"/>
  <c r="G472" l="1"/>
  <c r="I471"/>
  <c r="C511"/>
  <c r="G473" l="1"/>
  <c r="I472"/>
  <c r="C512"/>
  <c r="G474" l="1"/>
  <c r="I473"/>
  <c r="C513"/>
  <c r="G475" l="1"/>
  <c r="I474"/>
  <c r="C514"/>
  <c r="G476" l="1"/>
  <c r="I475"/>
  <c r="C515"/>
  <c r="G477" l="1"/>
  <c r="I476"/>
  <c r="C516"/>
  <c r="G478" l="1"/>
  <c r="I477"/>
  <c r="C517"/>
  <c r="G479" l="1"/>
  <c r="I478"/>
  <c r="C518"/>
  <c r="G480" l="1"/>
  <c r="I479"/>
  <c r="C519"/>
  <c r="G481" l="1"/>
  <c r="I480"/>
  <c r="C520"/>
  <c r="G482" l="1"/>
  <c r="I481"/>
  <c r="C521"/>
  <c r="G483" l="1"/>
  <c r="I482"/>
  <c r="C522"/>
  <c r="G484" l="1"/>
  <c r="I483"/>
  <c r="C523"/>
  <c r="G485" l="1"/>
  <c r="I484"/>
  <c r="C524"/>
  <c r="G486" l="1"/>
  <c r="I485"/>
  <c r="C525"/>
  <c r="G487" l="1"/>
  <c r="I486"/>
  <c r="C526"/>
  <c r="G488" l="1"/>
  <c r="I487"/>
  <c r="C527"/>
  <c r="G489" l="1"/>
  <c r="I488"/>
  <c r="C528"/>
  <c r="G490" l="1"/>
  <c r="I489"/>
  <c r="C529"/>
  <c r="G491" l="1"/>
  <c r="I490"/>
  <c r="C530"/>
  <c r="G492" l="1"/>
  <c r="I491"/>
  <c r="C531"/>
  <c r="G493" l="1"/>
  <c r="I492"/>
  <c r="C532"/>
  <c r="G494" l="1"/>
  <c r="I493"/>
  <c r="C533"/>
  <c r="G495" l="1"/>
  <c r="I494"/>
  <c r="C534"/>
  <c r="G496" l="1"/>
  <c r="I495"/>
  <c r="C535"/>
  <c r="G497" l="1"/>
  <c r="I496"/>
  <c r="C536"/>
  <c r="G498" l="1"/>
  <c r="I497"/>
  <c r="C537"/>
  <c r="G499" l="1"/>
  <c r="I498"/>
  <c r="C538"/>
  <c r="G500" l="1"/>
  <c r="I499"/>
  <c r="C539"/>
  <c r="G501" l="1"/>
  <c r="I500"/>
  <c r="C540"/>
  <c r="G502" l="1"/>
  <c r="I501"/>
  <c r="C541"/>
  <c r="G503" l="1"/>
  <c r="I502"/>
  <c r="C542"/>
  <c r="G504" l="1"/>
  <c r="I503"/>
  <c r="C543"/>
  <c r="G505" l="1"/>
  <c r="I504"/>
  <c r="C544"/>
  <c r="G506" l="1"/>
  <c r="I505"/>
  <c r="C545"/>
  <c r="G507" l="1"/>
  <c r="I506"/>
  <c r="C546"/>
  <c r="G508" l="1"/>
  <c r="I507"/>
  <c r="C547"/>
  <c r="G509" l="1"/>
  <c r="I508"/>
  <c r="C548"/>
  <c r="G510" l="1"/>
  <c r="I509"/>
  <c r="C549"/>
  <c r="G511" l="1"/>
  <c r="I510"/>
  <c r="C550"/>
  <c r="G512" l="1"/>
  <c r="I511"/>
  <c r="C551"/>
  <c r="G513" l="1"/>
  <c r="I512"/>
  <c r="C552"/>
  <c r="G514" l="1"/>
  <c r="I513"/>
  <c r="C553"/>
  <c r="G515" l="1"/>
  <c r="I514"/>
  <c r="C554"/>
  <c r="G516" l="1"/>
  <c r="I515"/>
  <c r="C555"/>
  <c r="G517" l="1"/>
  <c r="I516"/>
  <c r="C556"/>
  <c r="G518" l="1"/>
  <c r="I517"/>
  <c r="C557"/>
  <c r="G519" l="1"/>
  <c r="I518"/>
  <c r="C558"/>
  <c r="G520" l="1"/>
  <c r="I519"/>
  <c r="C559"/>
  <c r="G521" l="1"/>
  <c r="I520"/>
  <c r="C560"/>
  <c r="G522" l="1"/>
  <c r="I521"/>
  <c r="C561"/>
  <c r="G523" l="1"/>
  <c r="I522"/>
  <c r="C562"/>
  <c r="G524" l="1"/>
  <c r="I523"/>
  <c r="C563"/>
  <c r="G525" l="1"/>
  <c r="I524"/>
  <c r="C564"/>
  <c r="G526" l="1"/>
  <c r="I525"/>
  <c r="C565"/>
  <c r="G527" l="1"/>
  <c r="I526"/>
  <c r="C566"/>
  <c r="G528" l="1"/>
  <c r="I527"/>
  <c r="C567"/>
  <c r="G529" l="1"/>
  <c r="I528"/>
  <c r="C568"/>
  <c r="G530" l="1"/>
  <c r="I529"/>
  <c r="C569"/>
  <c r="G531" l="1"/>
  <c r="I530"/>
  <c r="C570"/>
  <c r="G532" l="1"/>
  <c r="I531"/>
  <c r="C571"/>
  <c r="G533" l="1"/>
  <c r="I532"/>
  <c r="C572"/>
  <c r="G534" l="1"/>
  <c r="I533"/>
  <c r="C573"/>
  <c r="G535" l="1"/>
  <c r="I534"/>
  <c r="C574"/>
  <c r="G536" l="1"/>
  <c r="I535"/>
  <c r="C575"/>
  <c r="G537" l="1"/>
  <c r="I536"/>
  <c r="C576"/>
  <c r="G538" l="1"/>
  <c r="I537"/>
  <c r="C577"/>
  <c r="G539" l="1"/>
  <c r="I538"/>
  <c r="C578"/>
  <c r="G540" l="1"/>
  <c r="I539"/>
  <c r="C579"/>
  <c r="G541" l="1"/>
  <c r="I540"/>
  <c r="C580"/>
  <c r="G542" l="1"/>
  <c r="I541"/>
  <c r="C581"/>
  <c r="G543" l="1"/>
  <c r="I542"/>
  <c r="C582"/>
  <c r="G544" l="1"/>
  <c r="I543"/>
  <c r="C583"/>
  <c r="G545" l="1"/>
  <c r="I544"/>
  <c r="C584"/>
  <c r="G546" l="1"/>
  <c r="I545"/>
  <c r="C585"/>
  <c r="G547" l="1"/>
  <c r="I546"/>
  <c r="C586"/>
  <c r="G548" l="1"/>
  <c r="I547"/>
  <c r="C587"/>
  <c r="G549" l="1"/>
  <c r="I548"/>
  <c r="C588"/>
  <c r="G550" l="1"/>
  <c r="I549"/>
  <c r="C589"/>
  <c r="G551" l="1"/>
  <c r="I550"/>
  <c r="C590"/>
  <c r="G552" l="1"/>
  <c r="I551"/>
  <c r="C591"/>
  <c r="G553" l="1"/>
  <c r="I552"/>
  <c r="C592"/>
  <c r="G554" l="1"/>
  <c r="I553"/>
  <c r="C593"/>
  <c r="G555" l="1"/>
  <c r="I554"/>
  <c r="C594"/>
  <c r="G556" l="1"/>
  <c r="I555"/>
  <c r="C595"/>
  <c r="G557" l="1"/>
  <c r="I556"/>
  <c r="C596"/>
  <c r="G558" l="1"/>
  <c r="I557"/>
  <c r="C597"/>
  <c r="G559" l="1"/>
  <c r="I558"/>
  <c r="C598"/>
  <c r="G560" l="1"/>
  <c r="I559"/>
  <c r="C599"/>
  <c r="G561" l="1"/>
  <c r="I560"/>
  <c r="C600"/>
  <c r="G562" l="1"/>
  <c r="I561"/>
  <c r="C601"/>
  <c r="G563" l="1"/>
  <c r="I562"/>
  <c r="C602"/>
  <c r="G564" l="1"/>
  <c r="I563"/>
  <c r="C603"/>
  <c r="G565" l="1"/>
  <c r="I564"/>
  <c r="C604"/>
  <c r="G566" l="1"/>
  <c r="I565"/>
  <c r="C605"/>
  <c r="G567" l="1"/>
  <c r="I566"/>
  <c r="C606"/>
  <c r="G568" l="1"/>
  <c r="I567"/>
  <c r="C607"/>
  <c r="G569" l="1"/>
  <c r="I568"/>
  <c r="C608"/>
  <c r="G570" l="1"/>
  <c r="I569"/>
  <c r="C609"/>
  <c r="G571" l="1"/>
  <c r="I570"/>
  <c r="C610"/>
  <c r="G572" l="1"/>
  <c r="I571"/>
  <c r="C611"/>
  <c r="G573" l="1"/>
  <c r="I572"/>
  <c r="C612"/>
  <c r="G574" l="1"/>
  <c r="I573"/>
  <c r="C613"/>
  <c r="G575" l="1"/>
  <c r="I574"/>
  <c r="C614"/>
  <c r="G576" l="1"/>
  <c r="I575"/>
  <c r="C615"/>
  <c r="G577" l="1"/>
  <c r="I576"/>
  <c r="C616"/>
  <c r="G578" l="1"/>
  <c r="I577"/>
  <c r="C617"/>
  <c r="G579" l="1"/>
  <c r="I578"/>
  <c r="C618"/>
  <c r="G580" l="1"/>
  <c r="I579"/>
  <c r="C619"/>
  <c r="G581" l="1"/>
  <c r="I580"/>
  <c r="C620"/>
  <c r="G582" l="1"/>
  <c r="I581"/>
  <c r="C621"/>
  <c r="G583" l="1"/>
  <c r="I582"/>
  <c r="C622"/>
  <c r="G584" l="1"/>
  <c r="I583"/>
  <c r="C623"/>
  <c r="G585" l="1"/>
  <c r="I584"/>
  <c r="C624"/>
  <c r="G586" l="1"/>
  <c r="I585"/>
  <c r="C625"/>
  <c r="G587" l="1"/>
  <c r="I586"/>
  <c r="C626"/>
  <c r="G588" l="1"/>
  <c r="I587"/>
  <c r="C627"/>
  <c r="G589" l="1"/>
  <c r="I588"/>
  <c r="C628"/>
  <c r="G590" l="1"/>
  <c r="I589"/>
  <c r="C629"/>
  <c r="G591" l="1"/>
  <c r="I590"/>
  <c r="C630"/>
  <c r="G592" l="1"/>
  <c r="I591"/>
  <c r="C631"/>
  <c r="G593" l="1"/>
  <c r="I592"/>
  <c r="C632"/>
  <c r="G594" l="1"/>
  <c r="I593"/>
  <c r="C633"/>
  <c r="G595" l="1"/>
  <c r="I594"/>
  <c r="C634"/>
  <c r="G596" l="1"/>
  <c r="I595"/>
  <c r="C635"/>
  <c r="G597" l="1"/>
  <c r="I596"/>
  <c r="C636"/>
  <c r="G598" l="1"/>
  <c r="I597"/>
  <c r="C637"/>
  <c r="G599" l="1"/>
  <c r="I598"/>
  <c r="C638"/>
  <c r="G600" l="1"/>
  <c r="I599"/>
  <c r="C639"/>
  <c r="G601" l="1"/>
  <c r="I600"/>
  <c r="C640"/>
  <c r="G602" l="1"/>
  <c r="I601"/>
  <c r="C641"/>
  <c r="G603" l="1"/>
  <c r="I602"/>
  <c r="C642"/>
  <c r="G604" l="1"/>
  <c r="I603"/>
  <c r="C643"/>
  <c r="G605" l="1"/>
  <c r="I604"/>
  <c r="C644"/>
  <c r="G606" l="1"/>
  <c r="I605"/>
  <c r="C645"/>
  <c r="G607" l="1"/>
  <c r="I606"/>
  <c r="C646"/>
  <c r="G608" l="1"/>
  <c r="I607"/>
  <c r="C647"/>
  <c r="G609" l="1"/>
  <c r="I608"/>
  <c r="C648"/>
  <c r="G610" l="1"/>
  <c r="I609"/>
  <c r="C649"/>
  <c r="G611" l="1"/>
  <c r="I610"/>
  <c r="C650"/>
  <c r="G612" l="1"/>
  <c r="I611"/>
  <c r="C651"/>
  <c r="G613" l="1"/>
  <c r="I612"/>
  <c r="C652"/>
  <c r="G614" l="1"/>
  <c r="I613"/>
  <c r="C653"/>
  <c r="G615" l="1"/>
  <c r="I614"/>
  <c r="C654"/>
  <c r="G616" l="1"/>
  <c r="I615"/>
  <c r="C655"/>
  <c r="G617" l="1"/>
  <c r="I616"/>
  <c r="C656"/>
  <c r="G618" l="1"/>
  <c r="I617"/>
  <c r="C657"/>
  <c r="G619" l="1"/>
  <c r="I618"/>
  <c r="C658"/>
  <c r="I619" l="1"/>
  <c r="H1"/>
  <c r="D11" i="2" s="1"/>
  <c r="C659" i="1"/>
  <c r="C26" i="2" l="1"/>
  <c r="D26" s="1"/>
  <c r="C25"/>
  <c r="C24"/>
  <c r="C23"/>
  <c r="C22"/>
  <c r="C18"/>
  <c r="C13"/>
  <c r="C12"/>
  <c r="C15"/>
  <c r="C14"/>
  <c r="C19"/>
  <c r="C21"/>
  <c r="C17"/>
  <c r="C16"/>
  <c r="C20"/>
  <c r="E11"/>
  <c r="C660" i="1"/>
  <c r="C661" l="1"/>
  <c r="F12" i="2" l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C662" i="1"/>
  <c r="C663" l="1"/>
  <c r="C664" l="1"/>
  <c r="C665" l="1"/>
  <c r="C666" l="1"/>
  <c r="C667" l="1"/>
  <c r="C668" l="1"/>
  <c r="C669" l="1"/>
  <c r="C670" l="1"/>
  <c r="C671" l="1"/>
  <c r="C672" l="1"/>
  <c r="C673" l="1"/>
  <c r="C674" l="1"/>
  <c r="C675" l="1"/>
  <c r="C676" l="1"/>
  <c r="C677" l="1"/>
  <c r="C678" l="1"/>
  <c r="C679" l="1"/>
  <c r="C680" l="1"/>
  <c r="C681" l="1"/>
  <c r="C682" l="1"/>
  <c r="C683" l="1"/>
  <c r="C684" l="1"/>
  <c r="C685" l="1"/>
  <c r="C686" l="1"/>
  <c r="C687" l="1"/>
  <c r="C688" l="1"/>
  <c r="C689" l="1"/>
  <c r="C690" l="1"/>
  <c r="C691" l="1"/>
  <c r="C692" l="1"/>
  <c r="C693" l="1"/>
  <c r="C694" l="1"/>
  <c r="C695" l="1"/>
  <c r="C696" l="1"/>
  <c r="C697" l="1"/>
  <c r="C698" l="1"/>
  <c r="C699" l="1"/>
  <c r="C700" l="1"/>
  <c r="C701" l="1"/>
  <c r="C702" l="1"/>
  <c r="C703" l="1"/>
  <c r="C704" l="1"/>
  <c r="C705" l="1"/>
  <c r="C706" l="1"/>
  <c r="C707" l="1"/>
  <c r="C708" l="1"/>
  <c r="C709" l="1"/>
  <c r="C710" l="1"/>
  <c r="C711" l="1"/>
  <c r="C712" l="1"/>
  <c r="C713" l="1"/>
  <c r="C714" l="1"/>
  <c r="C715" l="1"/>
  <c r="C716" l="1"/>
  <c r="C717" l="1"/>
  <c r="C718" l="1"/>
  <c r="C719" l="1"/>
  <c r="C720" l="1"/>
  <c r="C721" l="1"/>
  <c r="C722" l="1"/>
  <c r="C723" l="1"/>
  <c r="C724" l="1"/>
  <c r="C725" l="1"/>
  <c r="C726" l="1"/>
  <c r="C727" l="1"/>
  <c r="C728" l="1"/>
  <c r="C729" l="1"/>
  <c r="C730" l="1"/>
  <c r="C731" l="1"/>
  <c r="C732" l="1"/>
  <c r="C733" l="1"/>
  <c r="C734" l="1"/>
  <c r="C735" l="1"/>
  <c r="C736" l="1"/>
  <c r="C737" l="1"/>
  <c r="C738" l="1"/>
  <c r="C739" l="1"/>
  <c r="B1" l="1"/>
  <c r="D28" i="2" s="1"/>
  <c r="C38" l="1"/>
  <c r="C41"/>
  <c r="C40"/>
  <c r="C39"/>
  <c r="C29"/>
  <c r="F43" s="1"/>
  <c r="F44" s="1"/>
  <c r="F45" s="1"/>
  <c r="F46" s="1"/>
  <c r="C36"/>
  <c r="C32"/>
  <c r="C44"/>
  <c r="C48"/>
  <c r="C35"/>
  <c r="C42"/>
  <c r="C31"/>
  <c r="C30"/>
  <c r="C47"/>
  <c r="C34"/>
  <c r="C37"/>
  <c r="C46"/>
  <c r="C45"/>
  <c r="E28"/>
  <c r="C43"/>
  <c r="C33"/>
  <c r="F47" l="1"/>
  <c r="F48" s="1"/>
  <c r="H2" s="1"/>
</calcChain>
</file>

<file path=xl/sharedStrings.xml><?xml version="1.0" encoding="utf-8"?>
<sst xmlns="http://schemas.openxmlformats.org/spreadsheetml/2006/main" count="3110" uniqueCount="1759">
  <si>
    <t>Sprites</t>
  </si>
  <si>
    <t>ORIGINAL_COUNT = 22</t>
  </si>
  <si>
    <t>id_sprite = {</t>
  </si>
  <si>
    <t xml:space="preserve">    0   : "Terra",</t>
  </si>
  <si>
    <t xml:space="preserve">    1   : "Locke",</t>
  </si>
  <si>
    <t xml:space="preserve">    2   : "Cyan",</t>
  </si>
  <si>
    <t xml:space="preserve">    3   : "Shadow",</t>
  </si>
  <si>
    <t xml:space="preserve">    4   : "Edgar",</t>
  </si>
  <si>
    <t xml:space="preserve">    5   : "Sabin",</t>
  </si>
  <si>
    <t xml:space="preserve">    6   : "Celes",</t>
  </si>
  <si>
    <t xml:space="preserve">    7   : "Strago",</t>
  </si>
  <si>
    <t xml:space="preserve">    8   : "Relm",</t>
  </si>
  <si>
    <t xml:space="preserve">    9   : "Setzer",</t>
  </si>
  <si>
    <t xml:space="preserve">    10  : "Mog",</t>
  </si>
  <si>
    <t xml:space="preserve">    11  : "Gau",</t>
  </si>
  <si>
    <t xml:space="preserve">    12  : "Gogo",</t>
  </si>
  <si>
    <t xml:space="preserve">    13  : "Umaro",</t>
  </si>
  <si>
    <t xml:space="preserve">    14  : "Soldier",</t>
  </si>
  <si>
    <t xml:space="preserve">    15  : "Imp",</t>
  </si>
  <si>
    <t xml:space="preserve">    16  : "General Leo",</t>
  </si>
  <si>
    <t xml:space="preserve">    17  : "Banon-Duncan",</t>
  </si>
  <si>
    <t xml:space="preserve">    18  : "Esper Terra",</t>
  </si>
  <si>
    <t xml:space="preserve">    19  : "Merchant",</t>
  </si>
  <si>
    <t xml:space="preserve">    20  : "Ghost",</t>
  </si>
  <si>
    <t xml:space="preserve">    21  : "Kefka",</t>
  </si>
  <si>
    <t xml:space="preserve">    30  : "Aerith-HoxNorf-FF7",</t>
  </si>
  <si>
    <t xml:space="preserve">    31  : "Ayla-CrumpledMedal-CT",</t>
  </si>
  <si>
    <t xml:space="preserve">    32  : "Baram-PocoLoco-FF6",</t>
  </si>
  <si>
    <t xml:space="preserve">    33  : "Barret-CtrlxZ-FF7",</t>
  </si>
  <si>
    <t xml:space="preserve">    34  : "Bartz-HoxNorf-FF5",</t>
  </si>
  <si>
    <t xml:space="preserve">    35  : "Berserker-Badass-FF5",</t>
  </si>
  <si>
    <t xml:space="preserve">    36  : "Bird-JamesWhite89-FF6",</t>
  </si>
  <si>
    <t xml:space="preserve">    37  : "Boco-JamesWhite89-FF5",</t>
  </si>
  <si>
    <t xml:space="preserve">    38  : "Bomb-JamesWhite89-FF6",</t>
  </si>
  <si>
    <t xml:space="preserve">    39  : "Bubble Dragon-Badass-BB",</t>
  </si>
  <si>
    <t xml:space="preserve">    40  : "Cecil (Dark Knight)-MetroidQuest-EC",</t>
  </si>
  <si>
    <t xml:space="preserve">    41  : "Cecil (Paladin)-MetroidQuest-EC",</t>
  </si>
  <si>
    <t xml:space="preserve">    42  : "Chancellor-Zozma-FF6",</t>
  </si>
  <si>
    <t xml:space="preserve">    43  : "Cid-HoxNorf-FF4",</t>
  </si>
  <si>
    <t xml:space="preserve">    44  : "Cirno-HoxNorf-Touhou",</t>
  </si>
  <si>
    <t xml:space="preserve">    45  : "Cloud-HoxNorf-FF7",</t>
  </si>
  <si>
    <t xml:space="preserve">    46  : "Crono (No Sword)-Badass-CT",</t>
  </si>
  <si>
    <t xml:space="preserve">    47  : "Crono (Sword)-Badass-CT",</t>
  </si>
  <si>
    <t xml:space="preserve">    48  : "Devout-HoxNorf-FF",</t>
  </si>
  <si>
    <t xml:space="preserve">    49  : "Edea-CtrlxZ-FF8",</t>
  </si>
  <si>
    <t xml:space="preserve">    50  : "Edge-PocoLoco-FF4",</t>
  </si>
  <si>
    <t xml:space="preserve">    51  : "Edward-SpoonyBard-FFRK",</t>
  </si>
  <si>
    <t xml:space="preserve">    52  : "Edward-Zozma-FF4",</t>
  </si>
  <si>
    <t xml:space="preserve">    53  : "Eiko-PocoLoco-FF9",</t>
  </si>
  <si>
    <t xml:space="preserve">    54  : "Eiko-ScarabEnigma-FF9",</t>
  </si>
  <si>
    <t xml:space="preserve">    55  : "Elarra-HoxNorf-FFRK",</t>
  </si>
  <si>
    <t xml:space="preserve">    56  : "Exdeath-CtrlxZ-FF5",</t>
  </si>
  <si>
    <t xml:space="preserve">    57  : "Faris (Summoner)-FEOK-FF5",</t>
  </si>
  <si>
    <t xml:space="preserve">    58  : "Faris-HoxNorf-FF5",</t>
  </si>
  <si>
    <t xml:space="preserve">    59  : "Fish-ScarabEnigma-FF6",</t>
  </si>
  <si>
    <t xml:space="preserve">    60  : "Freya-HoxNorf-FF9",</t>
  </si>
  <si>
    <t xml:space="preserve">    61  : "Frog-Badass-CT",</t>
  </si>
  <si>
    <t xml:space="preserve">    62  : "Frog-MetroidQuest-EC",</t>
  </si>
  <si>
    <t xml:space="preserve">    63  : "FuSoYa-FEOK-FF4",</t>
  </si>
  <si>
    <t xml:space="preserve">    64  : "Galuf-HoxNorf-FF5",</t>
  </si>
  <si>
    <t xml:space="preserve">    65  : "Gardevoir-LoneRedMage-Pokemon",</t>
  </si>
  <si>
    <t xml:space="preserve">    66  : "Garnet (Long Hair)-HoxNorf-FF9",</t>
  </si>
  <si>
    <t xml:space="preserve">    67  : "Garnet (Short Hair)-HoxNorf-FF9",</t>
  </si>
  <si>
    <t xml:space="preserve">    68  : "Gau (Suit)-Zozma-FF6",</t>
  </si>
  <si>
    <t xml:space="preserve">    69  : "General Leo (Full)-SpoonyBard-FF6",</t>
  </si>
  <si>
    <t xml:space="preserve">    70  : "General Leo (Redone)-SpoonyBard-FF6",</t>
  </si>
  <si>
    <t xml:space="preserve">    71  : "Gestahl-MetroidQuest-EC",</t>
  </si>
  <si>
    <t xml:space="preserve">    72  : "Gilgamesh-Kugawattan-FF5",</t>
  </si>
  <si>
    <t xml:space="preserve">    73  : "Golbez-FEOK-FF4",</t>
  </si>
  <si>
    <t xml:space="preserve">    74  : "Iffy-HoxNorf-Neptunia",</t>
  </si>
  <si>
    <t xml:space="preserve">    75  : "Impressario-LoneRedMage-FF6",</t>
  </si>
  <si>
    <t xml:space="preserve">    76  : "Interceptor-JamesWhite89-FF6",</t>
  </si>
  <si>
    <t xml:space="preserve">    77  : "Iris-HoxNorf-FF15",</t>
  </si>
  <si>
    <t xml:space="preserve">    78  : "Jessie-HoxNorf-FF7",</t>
  </si>
  <si>
    <t xml:space="preserve">    79  : "Kain-MetroidQuest-EC",</t>
  </si>
  <si>
    <t xml:space="preserve">    80  : "Kain-SpoonyBard-FFRK",</t>
  </si>
  <si>
    <t xml:space="preserve">    81  : "Katarin-Zozma-FF6",</t>
  </si>
  <si>
    <t xml:space="preserve">    82  : "Kelgar-CtrlxZ-FF5",</t>
  </si>
  <si>
    <t xml:space="preserve">    83  : "King Baron-JamesWhite89-FF4",</t>
  </si>
  <si>
    <t xml:space="preserve">    84  : "Krile-HoxNorf-FF5",</t>
  </si>
  <si>
    <t xml:space="preserve">    85  : "Laguna-PocoLoco-FF8",</t>
  </si>
  <si>
    <t xml:space="preserve">    86  : "Lenna (White Mage)-HoxNorf-FF5",</t>
  </si>
  <si>
    <t xml:space="preserve">    87  : "Lenna-HoxNorf-FF5",</t>
  </si>
  <si>
    <t xml:space="preserve">    88  : "Lightning-FEOK-FF13",</t>
  </si>
  <si>
    <t xml:space="preserve">    89  : "Magus-FEOK-CT",</t>
  </si>
  <si>
    <t xml:space="preserve">    90  : "Magus-MetroidQuest-EC",</t>
  </si>
  <si>
    <t xml:space="preserve">    91  : "Mini-JamesWhite89-FF",</t>
  </si>
  <si>
    <t xml:space="preserve">    92  : "Mog-JamesWhite89-FF6E",</t>
  </si>
  <si>
    <t xml:space="preserve">    93  : "Mystic Knight-CtrlxZ-FF5",</t>
  </si>
  <si>
    <t xml:space="preserve">    94  : "Nepgear-HoxNorf-Neptunia",</t>
  </si>
  <si>
    <t xml:space="preserve">    95  : "Neptune (Adult)-HoxNorf-Neptunia",</t>
  </si>
  <si>
    <t xml:space="preserve">    96  : "Neptune-HoxNorf-Neptunia",</t>
  </si>
  <si>
    <t xml:space="preserve">    97  : "Ninja-CtrlxZ-FF5",</t>
  </si>
  <si>
    <t xml:space="preserve">    98  : "Onion Knight-FEOK-FF3",</t>
  </si>
  <si>
    <t xml:space="preserve">    99  : "Palom-HoxNorf-FF4",</t>
  </si>
  <si>
    <t xml:space="preserve">    100 : "Porom-HoxNorf-FF4",</t>
  </si>
  <si>
    <t xml:space="preserve">    101 : "Quina-SpoonyBard-FFRK",</t>
  </si>
  <si>
    <t xml:space="preserve">    102 : "Quistis-FEOK-FF8",</t>
  </si>
  <si>
    <t xml:space="preserve">    103 : "Rachel-Zozma-FF6",</t>
  </si>
  <si>
    <t xml:space="preserve">    104 : "Relm (Amano)-HoxNorf-FF6",</t>
  </si>
  <si>
    <t xml:space="preserve">    105 : "Relm-MetroidQuest-EC",</t>
  </si>
  <si>
    <t xml:space="preserve">    106 : "Reno-CtrlxZ-FF7",</t>
  </si>
  <si>
    <t xml:space="preserve">    107 : "Robo-Badass-CT",</t>
  </si>
  <si>
    <t xml:space="preserve">    108 : "Rosa-PocoLoco-FF4",</t>
  </si>
  <si>
    <t xml:space="preserve">    109 : "Rydia (Child)-HoxNorf-FF4",</t>
  </si>
  <si>
    <t xml:space="preserve">    110 : "Rydia-HoxNorf-FF4",</t>
  </si>
  <si>
    <t xml:space="preserve">    111 : "Rydia-Zozma-FF4",</t>
  </si>
  <si>
    <t xml:space="preserve">    112 : "Ryu (Dragon)-Badass-BOF",</t>
  </si>
  <si>
    <t xml:space="preserve">    113 : "Ryu-Badass-BOF",</t>
  </si>
  <si>
    <t xml:space="preserve">    114 : "Samurai-CtrlxZ-FF5",</t>
  </si>
  <si>
    <t xml:space="preserve">    115 : "Schala-HoxNorf-CT",</t>
  </si>
  <si>
    <t xml:space="preserve">    116 : "Sephiroth-CtrlxZ-FF7",</t>
  </si>
  <si>
    <t xml:space="preserve">    117 : "Seymour-LoneRedMage-FF10",</t>
  </si>
  <si>
    <t xml:space="preserve">    118 : "Shantotto-HoxNorf-FF11",</t>
  </si>
  <si>
    <t xml:space="preserve">    119 : "Soldier-LoneRedMage-FF4",</t>
  </si>
  <si>
    <t xml:space="preserve">    120 : "Steiner-FEOK-FF9",</t>
  </si>
  <si>
    <t xml:space="preserve">    121 : "Tellah-FEOK-FF4",</t>
  </si>
  <si>
    <t xml:space="preserve">    122 : "Terra (Amano Blond Cape)-JCollins-FF6",</t>
  </si>
  <si>
    <t xml:space="preserve">    123 : "Terra (Amano Cape)-JCollins-FF6",</t>
  </si>
  <si>
    <t xml:space="preserve">    124 : "Terra (Amano)-JCollins-FF6",</t>
  </si>
  <si>
    <t xml:space="preserve">    125 : "Terra-MetroidQuest-EC",</t>
  </si>
  <si>
    <t xml:space="preserve">    126 : "Tiny Moogle-Rjenyawd-FF",</t>
  </si>
  <si>
    <t xml:space="preserve">    127 : "Tohka-HoxNorf-DAL",</t>
  </si>
  <si>
    <t xml:space="preserve">    128 : "Tonberry-JamesWhite89-FF",</t>
  </si>
  <si>
    <t xml:space="preserve">    129 : "Ultros-PocoLoco-FF6",</t>
  </si>
  <si>
    <t xml:space="preserve">    130 : "Uni-HoxNorf-Neptunia",</t>
  </si>
  <si>
    <t xml:space="preserve">    131 : "Vanille-FEOK-FF13",</t>
  </si>
  <si>
    <t xml:space="preserve">    132 : "Vivi-PocoLoco-FF9",</t>
  </si>
  <si>
    <t xml:space="preserve">    133 : "White Mage-Matthew50-FF",</t>
  </si>
  <si>
    <t xml:space="preserve">    134 : "Yang-SApprentice-FF4",</t>
  </si>
  <si>
    <t xml:space="preserve">    135 : "Yuffie-HoxNorf-FF7",</t>
  </si>
  <si>
    <t xml:space="preserve">    136 : "Zack-CtrlxZ-FF7",</t>
  </si>
  <si>
    <t xml:space="preserve">    137 : "Zidane-HoxNorf-FF9",</t>
  </si>
  <si>
    <t xml:space="preserve">    138 : "Kuja-HoxNorf-FF9",</t>
  </si>
  <si>
    <t xml:space="preserve">    139 : "Reimu-HoxNorf-Touhou",</t>
  </si>
  <si>
    <t xml:space="preserve">    140 : "Ram-HoxNorf-Neptunia",</t>
  </si>
  <si>
    <t xml:space="preserve">    141 : "Rom-HoxNorf-Neptunia",</t>
  </si>
  <si>
    <t xml:space="preserve">    142 : "Umaro (Morph)-CDude-FF6",</t>
  </si>
  <si>
    <t xml:space="preserve">    143 : "Sarisa-HoxNorf-FF5",</t>
  </si>
  <si>
    <t xml:space="preserve">    144 : "Lilith-HoxNorf-Darkstalkers",</t>
  </si>
  <si>
    <t xml:space="preserve">    145 : "Marisa-HoxNorf-Touhou",</t>
  </si>
  <si>
    <t xml:space="preserve">    147 : "Rumia-HoxNorf-Touhou",</t>
  </si>
  <si>
    <t xml:space="preserve">    146 : "Papyrus-LoneRedMage-Undertale",</t>
  </si>
  <si>
    <t xml:space="preserve">    148 : "Sans-LoneRedMage-Undertale",</t>
  </si>
  <si>
    <t xml:space="preserve">    149 : "Toadette-HoxNorf-Mario",</t>
  </si>
  <si>
    <t xml:space="preserve">    150 : "Talim-HoxNorf-SC4",</t>
  </si>
  <si>
    <t xml:space="preserve">    151 : "Katt-ATinySpook-BOF2",</t>
  </si>
  <si>
    <t xml:space="preserve">    152 : "Steve-PheonixMMKC777-Minecraft",</t>
  </si>
  <si>
    <t xml:space="preserve">    153 : "Tonberry King-CDude-FF",</t>
  </si>
  <si>
    <t xml:space="preserve">    154 : "Banjo Kazooie-HoxNorf-BK",</t>
  </si>
  <si>
    <t xml:space="preserve">    155 : "PajaMog-CDude-FF",</t>
  </si>
  <si>
    <t xml:space="preserve">    156 : "GrimLocke-Taloswind-FF6",</t>
  </si>
  <si>
    <t xml:space="preserve">    157 : "Emperor-HoxNorf-FF2",</t>
  </si>
  <si>
    <t xml:space="preserve">    158 : "Chen-HoxNorf-Touhou",</t>
  </si>
  <si>
    <t xml:space="preserve">    159 : "Selphie-HoxNorf-FF8",</t>
  </si>
  <si>
    <t xml:space="preserve">    160 : "Sora-HoxNorf-KH",</t>
  </si>
  <si>
    <t>}</t>
  </si>
  <si>
    <t>Portraits</t>
  </si>
  <si>
    <t>ORIGINAL_COUNT = 19</t>
  </si>
  <si>
    <t>id_portrait = {</t>
  </si>
  <si>
    <t xml:space="preserve">    0  : "Terra",</t>
  </si>
  <si>
    <t xml:space="preserve">    1  : "Locke",</t>
  </si>
  <si>
    <t xml:space="preserve">    2  : "Cyan",</t>
  </si>
  <si>
    <t xml:space="preserve">    3  : "Shadow",</t>
  </si>
  <si>
    <t xml:space="preserve">    4  : "Edgar",</t>
  </si>
  <si>
    <t xml:space="preserve">    5  : "Sabin",</t>
  </si>
  <si>
    <t xml:space="preserve">    6  : "Celes",</t>
  </si>
  <si>
    <t xml:space="preserve">    7  : "Strago",</t>
  </si>
  <si>
    <t xml:space="preserve">    8  : "Relm",</t>
  </si>
  <si>
    <t xml:space="preserve">    9  : "Setzer",</t>
  </si>
  <si>
    <t xml:space="preserve">    10 : "Mog",</t>
  </si>
  <si>
    <t xml:space="preserve">    11 : "Gau",</t>
  </si>
  <si>
    <t xml:space="preserve">    12 : "Gogo",</t>
  </si>
  <si>
    <t xml:space="preserve">    13 : "Umaro",</t>
  </si>
  <si>
    <t xml:space="preserve">    14 : "Imp",</t>
  </si>
  <si>
    <t xml:space="preserve">    15 : "General Leo",</t>
  </si>
  <si>
    <t xml:space="preserve">    16 : "Banon",</t>
  </si>
  <si>
    <t xml:space="preserve">    17 : "Ghost",</t>
  </si>
  <si>
    <t xml:space="preserve">    18 : "Wedge-Vicks",</t>
  </si>
  <si>
    <t xml:space="preserve">    30 : "Bartz-Xeblon-FF5",</t>
  </si>
  <si>
    <t xml:space="preserve">    31 : "Berserker-JamesWhite89-FF5",</t>
  </si>
  <si>
    <t xml:space="preserve">    32 : "Bird-JamesWhite89-FF6",</t>
  </si>
  <si>
    <t xml:space="preserve">    33 : "Bomb-JamesWhite89-FF6",</t>
  </si>
  <si>
    <t xml:space="preserve">    34 : "Cecil (Dark Knight)-HoxNorf-FF4A",</t>
  </si>
  <si>
    <t xml:space="preserve">    35 : "Cecil (Dark Knight)-MetroidQuest-EC",</t>
  </si>
  <si>
    <t xml:space="preserve">    36 : "Cecil (Paladin)-HoxNorf-FF4A",</t>
  </si>
  <si>
    <t xml:space="preserve">    37 : "Cecil (Paladin)-MetroidQuest-EC",</t>
  </si>
  <si>
    <t xml:space="preserve">    38 : "Cid-HoxNorf-FF4A",</t>
  </si>
  <si>
    <t xml:space="preserve">    39 : "Cid-SpoonyBard-FF6A",</t>
  </si>
  <si>
    <t xml:space="preserve">    40 : "Cirno-HoxNorf-Touhou",</t>
  </si>
  <si>
    <t xml:space="preserve">    41 : "Edge-HoxNorf-FF4A",</t>
  </si>
  <si>
    <t xml:space="preserve">    42 : "Edward-HoxNorf-FF4A",</t>
  </si>
  <si>
    <t xml:space="preserve">    43 : "Edward-SpoonyBard-FF4C",</t>
  </si>
  <si>
    <t xml:space="preserve">    44 : "Esper Terra-SpoonyBard-FF6A",</t>
  </si>
  <si>
    <t xml:space="preserve">    45 : "Fish-JamesWhite89-FF6",</t>
  </si>
  <si>
    <t xml:space="preserve">    46 : "Frog-MetroidQuest-EC",</t>
  </si>
  <si>
    <t xml:space="preserve">    47 : "FuSoYa-HoxNorf-FF4A",</t>
  </si>
  <si>
    <t xml:space="preserve">    48 : "Gestahl-MetroidQuest-EC",</t>
  </si>
  <si>
    <t xml:space="preserve">    49 : "Gestahl-SpoonyBard-FF6A",</t>
  </si>
  <si>
    <t xml:space="preserve">    50 : "Golbez-HoxNorf-FF4A",</t>
  </si>
  <si>
    <t xml:space="preserve">    51 : "Heartless-Unknown-KH",</t>
  </si>
  <si>
    <t xml:space="preserve">    52 : "Iffy-HoxNorf-Neptunia",</t>
  </si>
  <si>
    <t xml:space="preserve">    53 : "Kain-HoxNorf-FF4A",</t>
  </si>
  <si>
    <t xml:space="preserve">    54 : "Kain-MetroidQuest-EC",</t>
  </si>
  <si>
    <t xml:space="preserve">    55 : "Kain-SpoonyBard-FF4C",</t>
  </si>
  <si>
    <t xml:space="preserve">    56 : "Kefka-SpoonyBard-FF6A",</t>
  </si>
  <si>
    <t xml:space="preserve">    57 : "Laguna-Xeblon-FF8",</t>
  </si>
  <si>
    <t xml:space="preserve">    58 : "Lenna (White Mage)-HoxNorf-FF5",</t>
  </si>
  <si>
    <t xml:space="preserve">    59 : "Magus-MetroidQuest-EC",</t>
  </si>
  <si>
    <t xml:space="preserve">    60 : "Mog-JamesWhite89-FF6E",</t>
  </si>
  <si>
    <t xml:space="preserve">    61 : "Nepgear-HoxNorf-Neptunia",</t>
  </si>
  <si>
    <t xml:space="preserve">    62 : "Nepgear2-HoxNorf-Neptunia",</t>
  </si>
  <si>
    <t xml:space="preserve">    63 : "Neptune Adult-HoxNorf-Neptunia",</t>
  </si>
  <si>
    <t xml:space="preserve">    64 : "Neptune-HoxNorf-Neptunia",</t>
  </si>
  <si>
    <t xml:space="preserve">    65 : "Neptune2-HoxNorf-Neptunia",</t>
  </si>
  <si>
    <t xml:space="preserve">    66 : "Palom-HoxNorf-FF4A",</t>
  </si>
  <si>
    <t xml:space="preserve">    67 : "Porom-HoxNorf-FF4A",</t>
  </si>
  <si>
    <t xml:space="preserve">    68 : "Quina-SpoonyBard-FF9",</t>
  </si>
  <si>
    <t xml:space="preserve">    69 : "Relm-MetroidQuest-EC",</t>
  </si>
  <si>
    <t xml:space="preserve">    70 : "Reno-Xeblon-FF7",</t>
  </si>
  <si>
    <t xml:space="preserve">    71 : "Robo-Badass-CT",</t>
  </si>
  <si>
    <t xml:space="preserve">    72 : "Rosa-HoxNorf-FF4A",</t>
  </si>
  <si>
    <t xml:space="preserve">    73 : "Rydia (Child)-HoxNorf-FF4A",</t>
  </si>
  <si>
    <t xml:space="preserve">    74 : "Rydia-HoxNorf-FF4A",</t>
  </si>
  <si>
    <t xml:space="preserve">    75 : "Schala-HoxNorf-CT",</t>
  </si>
  <si>
    <t xml:space="preserve">    76 : "Soldier-LoneRedMage-FF4",</t>
  </si>
  <si>
    <t xml:space="preserve">    77 : "Tellah-HoxNorf-FF4A",</t>
  </si>
  <si>
    <t xml:space="preserve">    78 : "Terra-MetroidQuest-EC",</t>
  </si>
  <si>
    <t xml:space="preserve">    79 : "Uni-HoxNorf-Neptunia",</t>
  </si>
  <si>
    <t xml:space="preserve">    80 : "Yang-HoxNorf-FF4A",</t>
  </si>
  <si>
    <t xml:space="preserve">    81 : "Zidane-Sutebenukun-FF9",</t>
  </si>
  <si>
    <t xml:space="preserve">    82 : "Kuja-HoxNorf-FF9",</t>
  </si>
  <si>
    <t xml:space="preserve">    83 : "Reimu-HoxNorf-Touhou",</t>
  </si>
  <si>
    <t xml:space="preserve">    84 : "Ram-HoxNorf-Neptunia",</t>
  </si>
  <si>
    <t xml:space="preserve">    85 : "Rom-HoxNorf-Neptunia",</t>
  </si>
  <si>
    <t xml:space="preserve">    86 : "Marisa-HoxNorf-Touhou",</t>
  </si>
  <si>
    <t xml:space="preserve">    87 : "Rumia-HoxNorf-Touhou",</t>
  </si>
  <si>
    <t xml:space="preserve">    88 : "Papyrus-LoneRedMage-Undertale",</t>
  </si>
  <si>
    <t xml:space="preserve">    89 : "Sans-LoneRedMage-Undertale",</t>
  </si>
  <si>
    <t xml:space="preserve">    90 : "Toadette-HoxNorf-Mario",</t>
  </si>
  <si>
    <t xml:space="preserve">    91 : "Talim-HoxNorf-SC4",</t>
  </si>
  <si>
    <t xml:space="preserve">    92 : "Katt-ATinySpook-BOF2",</t>
  </si>
  <si>
    <t xml:space="preserve">    93 : "Tonberry King-CDude-FF",</t>
  </si>
  <si>
    <t xml:space="preserve">    94 : "Banjo Kazooie-JamesWhite89-BK",</t>
  </si>
  <si>
    <t xml:space="preserve">    95 : "PajaMog-CDude-FF",</t>
  </si>
  <si>
    <t xml:space="preserve">    96 : "GrimLocke-Taloswind-FF6",</t>
  </si>
  <si>
    <t xml:space="preserve">    97 : "Aerith-CtrlxZ-KH",</t>
  </si>
  <si>
    <t xml:space="preserve">    98 : "Ayla-CtrlxZ-CT",</t>
  </si>
  <si>
    <t xml:space="preserve">    99 : "Crono-CtrlxZ-CT",</t>
  </si>
  <si>
    <t xml:space="preserve">    100 : "Edea-CtrlxZ-FF8",</t>
  </si>
  <si>
    <t xml:space="preserve">    101 : "Emperor-HoxNorf-FF2",</t>
  </si>
  <si>
    <t xml:space="preserve">    102 : "Exdeath-CtrlxZ-FF5",</t>
  </si>
  <si>
    <t xml:space="preserve">    103 : "Frog-CtrlxZ-CT",</t>
  </si>
  <si>
    <t xml:space="preserve">    104 : "Gilgamesh-CtrlxZ-FF5",</t>
  </si>
  <si>
    <t xml:space="preserve">    105 : "Seymour-CtrlxZ-FF10",</t>
  </si>
  <si>
    <t xml:space="preserve">    106 : "Cirno2-HoxNorf-Touhou",</t>
  </si>
  <si>
    <t xml:space="preserve">    107 : "Marisa2-HoxNorf-Touhou",</t>
  </si>
  <si>
    <t xml:space="preserve">    108 : "Rumia2-HoxNorf-Touhou",</t>
  </si>
  <si>
    <t xml:space="preserve">    109 : "Shantotto-HoxNorf-FF11",</t>
  </si>
  <si>
    <t xml:space="preserve">    110 : "Chen-HoxNorf-Touhou",</t>
  </si>
  <si>
    <t xml:space="preserve">    111 : "Selphie-CtrlxZ-FF8",</t>
  </si>
  <si>
    <t xml:space="preserve">    112 : "Sora-HoxNorf-KH",</t>
  </si>
  <si>
    <t>ORIGINAL_COUNT = 7</t>
  </si>
  <si>
    <t>id_palette = {</t>
  </si>
  <si>
    <t xml:space="preserve">    0   : "Original 0",</t>
  </si>
  <si>
    <t xml:space="preserve">    1   : "Original 1",</t>
  </si>
  <si>
    <t xml:space="preserve">    2   : "Original 2",</t>
  </si>
  <si>
    <t xml:space="preserve">    3   : "Original 3",</t>
  </si>
  <si>
    <t xml:space="preserve">    4   : "Original 4",</t>
  </si>
  <si>
    <t xml:space="preserve">    5   : "Original 5",</t>
  </si>
  <si>
    <t xml:space="preserve">    6   : "Original 6",</t>
  </si>
  <si>
    <t xml:space="preserve">    20  : "Aerith-HoxNorf-FF7",</t>
  </si>
  <si>
    <t xml:space="preserve">    21  : "Ayla-CrumpledMedal-CT",</t>
  </si>
  <si>
    <t xml:space="preserve">    22  : "Baram-PocoLoco-FF6",</t>
  </si>
  <si>
    <t xml:space="preserve">    23  : "Barret-CtrlxZ-FF7",</t>
  </si>
  <si>
    <t xml:space="preserve">    24  : "Bartz-HoxNorf-FF5",</t>
  </si>
  <si>
    <t xml:space="preserve">    25  : "Berserker-Badass-FF5",</t>
  </si>
  <si>
    <t xml:space="preserve">    26  : "Bird-JamesWhite89-FF6",</t>
  </si>
  <si>
    <t xml:space="preserve">    27  : "Boco-JamesWhite89-FF5",</t>
  </si>
  <si>
    <t xml:space="preserve">    28  : "Bomb-JamesWhite89-FF6",</t>
  </si>
  <si>
    <t xml:space="preserve">    29  : "Bubble Dragon-Badass-BB",</t>
  </si>
  <si>
    <t xml:space="preserve">    30  : "Cecil (Dark Knight)-MetroidQuest-EC",</t>
  </si>
  <si>
    <t xml:space="preserve">    31  : "Cecil (Paladin)-MetroidQuest-EC",</t>
  </si>
  <si>
    <t xml:space="preserve">    32  : "Chancellor-Zozma-FF6",</t>
  </si>
  <si>
    <t xml:space="preserve">    33  : "Cid-HoxNorf-FF4",</t>
  </si>
  <si>
    <t xml:space="preserve">    34  : "Cirno-HoxNorf-Touhou",</t>
  </si>
  <si>
    <t xml:space="preserve">    35  : "Cloud-HoxNorf-FF7",</t>
  </si>
  <si>
    <t xml:space="preserve">    36  : "Crono-Badass-CT",</t>
  </si>
  <si>
    <t xml:space="preserve">    37  : "Devout-HoxNorf-FF",</t>
  </si>
  <si>
    <t xml:space="preserve">    38  : "Edea-CtrlxZ-FF8",</t>
  </si>
  <si>
    <t xml:space="preserve">    39  : "Edge-PocoLoco-FF4",</t>
  </si>
  <si>
    <t xml:space="preserve">    40  : "Edward-SpoonyBard-FFRK",</t>
  </si>
  <si>
    <t xml:space="preserve">    41  : "Edward-Zozma-FF4",</t>
  </si>
  <si>
    <t xml:space="preserve">    42  : "Eiko-PocoLoco-FF9",</t>
  </si>
  <si>
    <t xml:space="preserve">    43  : "Eiko-ScarabEnigma-FF9",</t>
  </si>
  <si>
    <t xml:space="preserve">    44  : "Elarra-HoxNorf-FFRK",</t>
  </si>
  <si>
    <t xml:space="preserve">    45  : "Exdeath-CtrlxZ-FF5",</t>
  </si>
  <si>
    <t xml:space="preserve">    46  : "Faris (Summoner)-FEOK-FF5",</t>
  </si>
  <si>
    <t xml:space="preserve">    47  : "Faris-HoxNorf-FF5",</t>
  </si>
  <si>
    <t xml:space="preserve">    48  : "Fish-ScarabEnigma-FF6",</t>
  </si>
  <si>
    <t xml:space="preserve">    49  : "Freya-HoxNorf-FF9",</t>
  </si>
  <si>
    <t xml:space="preserve">    50  : "Frog-Badass-CT",</t>
  </si>
  <si>
    <t xml:space="preserve">    51  : "Frog-MetroidQuest-EC",</t>
  </si>
  <si>
    <t xml:space="preserve">    52  : "FuSoYa-FEOK-FF4",</t>
  </si>
  <si>
    <t xml:space="preserve">    53  : "Galuf-HoxNorf-FF5",</t>
  </si>
  <si>
    <t xml:space="preserve">    54  : "Gardevoir-LoneRedMage-Pokemon",</t>
  </si>
  <si>
    <t xml:space="preserve">    55  : "Garnet-HoxNorf-FF9",</t>
  </si>
  <si>
    <t xml:space="preserve">    56  : "Gau (Suit)-Zozma-FF6",</t>
  </si>
  <si>
    <t xml:space="preserve">    57  : "General Leo (Full)-SpoonyBard-FF6",</t>
  </si>
  <si>
    <t xml:space="preserve">    58  : "General Leo (Redone)-SpoonyBard-FF6",</t>
  </si>
  <si>
    <t xml:space="preserve">    59  : "Gestahl-MetroidQuest-EC",</t>
  </si>
  <si>
    <t xml:space="preserve">    60  : "Gilgamesh-Kugawattan-FF5",</t>
  </si>
  <si>
    <t xml:space="preserve">    61  : "Golbez-FEOK-FF4",</t>
  </si>
  <si>
    <t xml:space="preserve">    62  : "Iffy-HoxNorf-Neptunia",</t>
  </si>
  <si>
    <t xml:space="preserve">    63  : "Impressario-LoneRedMage-FF6",</t>
  </si>
  <si>
    <t xml:space="preserve">    64  : "Interceptor-JamesWhite89-FF6",</t>
  </si>
  <si>
    <t xml:space="preserve">    65  : "Iris-HoxNorf-FF15",</t>
  </si>
  <si>
    <t xml:space="preserve">    66  : "Jessie-HoxNorf-FF7",</t>
  </si>
  <si>
    <t xml:space="preserve">    67  : "Kain-MetroidQuest-EC",</t>
  </si>
  <si>
    <t xml:space="preserve">    68  : "Kain-SpoonyBard-FFRK",</t>
  </si>
  <si>
    <t xml:space="preserve">    69  : "Katarin-Zozma-FF6",</t>
  </si>
  <si>
    <t xml:space="preserve">    70  : "Kelgar-CtrlxZ-FF5",</t>
  </si>
  <si>
    <t xml:space="preserve">    71  : "King Baron-JamesWhite89-FF4",</t>
  </si>
  <si>
    <t xml:space="preserve">    72  : "Krile-HoxNorf-FF5",</t>
  </si>
  <si>
    <t xml:space="preserve">    73  : "Laguna-PocoLoco-FF8",</t>
  </si>
  <si>
    <t xml:space="preserve">    74  : "Lenna (White Mage)-HoxNorf-FF5",</t>
  </si>
  <si>
    <t xml:space="preserve">    75  : "Lenna-HoxNorf-FF5",</t>
  </si>
  <si>
    <t xml:space="preserve">    76  : "Lightning-FEOK-FF13",</t>
  </si>
  <si>
    <t xml:space="preserve">    77  : "Magus-FEOK-CT",</t>
  </si>
  <si>
    <t xml:space="preserve">    78  : "Magus-MetroidQuest-EC",</t>
  </si>
  <si>
    <t xml:space="preserve">    79  : "Mini-JamesWhite89-FF",</t>
  </si>
  <si>
    <t xml:space="preserve">    80  : "Mog-JamesWhite89-FF6E",</t>
  </si>
  <si>
    <t xml:space="preserve">    81  : "Mystic Knight-CtrlxZ-FF5",</t>
  </si>
  <si>
    <t xml:space="preserve">    82  : "Nepgear-HoxNorf-Neptunia",</t>
  </si>
  <si>
    <t xml:space="preserve">    83  : "Neptune (Adult)-HoxNorf-Neptunia",</t>
  </si>
  <si>
    <t xml:space="preserve">    84  : "Neptune-HoxNorf-Neptunia",</t>
  </si>
  <si>
    <t xml:space="preserve">    85  : "Ninja-CtrlxZ-FF5",</t>
  </si>
  <si>
    <t xml:space="preserve">    86  : "Onion Knight-FEOK-FF3",</t>
  </si>
  <si>
    <t xml:space="preserve">    87  : "Palom-HoxNorf-FF4",</t>
  </si>
  <si>
    <t xml:space="preserve">    88  : "Porom-HoxNorf-FF4",</t>
  </si>
  <si>
    <t xml:space="preserve">    89  : "Quina-SpoonyBard-FFRK",</t>
  </si>
  <si>
    <t xml:space="preserve">    90  : "Quistis-FEOK-FF8",</t>
  </si>
  <si>
    <t xml:space="preserve">    91  : "Rachel-Zozma-FF6",</t>
  </si>
  <si>
    <t xml:space="preserve">    92  : "Relm (Amano)-HoxNorf-FF6",</t>
  </si>
  <si>
    <t xml:space="preserve">    93  : "Relm-MetroidQuest-EC",</t>
  </si>
  <si>
    <t xml:space="preserve">    94  : "Reno-CtrlxZ-FF7",</t>
  </si>
  <si>
    <t xml:space="preserve">    95  : "Robo-Badass-CT",</t>
  </si>
  <si>
    <t xml:space="preserve">    96  : "Rosa-PocoLoco-FF4",</t>
  </si>
  <si>
    <t xml:space="preserve">    97  : "Rydia (Child)-HoxNorf-FF4",</t>
  </si>
  <si>
    <t xml:space="preserve">    98  : "Rydia-HoxNorf-FF4",</t>
  </si>
  <si>
    <t xml:space="preserve">    99  : "Rydia-Zozma-FF4",</t>
  </si>
  <si>
    <t xml:space="preserve">    100 : "Ryu (Dragon)-Badass-BOF",</t>
  </si>
  <si>
    <t xml:space="preserve">    101 : "Ryu-Badass-BOF",</t>
  </si>
  <si>
    <t xml:space="preserve">    102 : "Samurai-CtrlxZ-FF5",</t>
  </si>
  <si>
    <t xml:space="preserve">    103 : "Schala-HoxNorf-CT",</t>
  </si>
  <si>
    <t xml:space="preserve">    104 : "Sephiroth-CtrlxZ-FF7",</t>
  </si>
  <si>
    <t xml:space="preserve">    105 : "Seymour-LoneRedMage-FF10",</t>
  </si>
  <si>
    <t xml:space="preserve">    106 : "Shantotto-HoxNorf-FF11",</t>
  </si>
  <si>
    <t xml:space="preserve">    107 : "Soldier-LoneRedMage-FF4",</t>
  </si>
  <si>
    <t xml:space="preserve">    108 : "Steiner-FEOK-FF9",</t>
  </si>
  <si>
    <t xml:space="preserve">    109 : "Tellah-FEOK-FF4",</t>
  </si>
  <si>
    <t xml:space="preserve">    110 : "Terra (Amano Blond Cape)-JCollins-FF6",</t>
  </si>
  <si>
    <t xml:space="preserve">    111 : "Terra (Amano Cape)-JCollins-FF6",</t>
  </si>
  <si>
    <t xml:space="preserve">    112 : "Terra (Amano)-JCollins-FF6",</t>
  </si>
  <si>
    <t xml:space="preserve">    113 : "Terra-MetroidQuest-EC",</t>
  </si>
  <si>
    <t xml:space="preserve">    114 : "Tiny Moogle-Rjenyawd-FF",</t>
  </si>
  <si>
    <t xml:space="preserve">    115 : "Tohka-HoxNorf-DAL",</t>
  </si>
  <si>
    <t xml:space="preserve">    116 : "Tonberry-JamesWhite89-FF",</t>
  </si>
  <si>
    <t xml:space="preserve">    117 : "Ultros-PocoLoco-FF6",</t>
  </si>
  <si>
    <t xml:space="preserve">    118 : "Uni-HoxNorf-Neptunia",</t>
  </si>
  <si>
    <t xml:space="preserve">    119 : "Vanille-FEOK-FF13",</t>
  </si>
  <si>
    <t xml:space="preserve">    120 : "Vivi-PocoLoco-FF9",</t>
  </si>
  <si>
    <t xml:space="preserve">    121 : "White Mage-Matthew50-FF",</t>
  </si>
  <si>
    <t xml:space="preserve">    122 : "Yang-SApprentice-FF4",</t>
  </si>
  <si>
    <t xml:space="preserve">    123 : "Yuffie-HoxNorf-FF7",</t>
  </si>
  <si>
    <t xml:space="preserve">    124 : "Zack-CtrlxZ-FF7",</t>
  </si>
  <si>
    <t xml:space="preserve">    125 : "Zidane-HoxNorf-FF9",</t>
  </si>
  <si>
    <t xml:space="preserve">    126 : "Kuja-HoxNorf-FF9",</t>
  </si>
  <si>
    <t xml:space="preserve">    127 : "Reimu-HoxNorf-Touhou",</t>
  </si>
  <si>
    <t xml:space="preserve">    128 : "Ram-HoxNorf-Neptunia",</t>
  </si>
  <si>
    <t xml:space="preserve">    129 : "Rom-HoxNorf-Neptunia",</t>
  </si>
  <si>
    <t xml:space="preserve">    130 : "Umaro (Morph)-CDude-FF6",</t>
  </si>
  <si>
    <t xml:space="preserve">    131 : "Sarisa-HoxNorf-FF5",</t>
  </si>
  <si>
    <t xml:space="preserve">    132 : "Lilith-HoxNorf-Darkstalkers",</t>
  </si>
  <si>
    <t xml:space="preserve">    133 : "Marisa-HoxNorf-Touhou",</t>
  </si>
  <si>
    <t xml:space="preserve">    135 : "Rumia-HoxNorf-Touhou",</t>
  </si>
  <si>
    <t xml:space="preserve">    134 : "Papyrus-LoneRedMage-Undertale",</t>
  </si>
  <si>
    <t xml:space="preserve">    136 : "Sans-LoneRedMage-Undertale",</t>
  </si>
  <si>
    <t xml:space="preserve">    137 : "Toadette-HoxNorf-Mario",</t>
  </si>
  <si>
    <t xml:space="preserve">    138 : "Talim-HoxNorf-SC4",</t>
  </si>
  <si>
    <t xml:space="preserve">    139 : "Katt-ATinySpook-BOF2",</t>
  </si>
  <si>
    <t xml:space="preserve">    140 : "Steve-PheonixMMKC777-Minecraft",</t>
  </si>
  <si>
    <t xml:space="preserve">    141 : "Tonberry King-CDude-FF",</t>
  </si>
  <si>
    <t xml:space="preserve">    142 : "Banjo Kazooie-HoxNorf-BK",</t>
  </si>
  <si>
    <t xml:space="preserve">    143 : "PajaMog-CDude-FF",</t>
  </si>
  <si>
    <t xml:space="preserve">    144 : "GrimLocke-Taloswind-FF6",</t>
  </si>
  <si>
    <t xml:space="preserve">    145 : "Emperor-HoxNorf-FF2",</t>
  </si>
  <si>
    <t xml:space="preserve">    146 : "Chen-HoxNorf-Touhou",</t>
  </si>
  <si>
    <t xml:space="preserve">    147 : "Selphie-HoxNorf-FF8",</t>
  </si>
  <si>
    <t xml:space="preserve">    148 : "Sora-HoxNorf-KH",</t>
  </si>
  <si>
    <t>Palettes</t>
  </si>
  <si>
    <t>Cid-DoubleDown-FF6</t>
  </si>
  <si>
    <t>508 Portraits from Beyond Chaos</t>
  </si>
  <si>
    <t>3tweight</t>
  </si>
  <si>
    <t>aerith-child</t>
  </si>
  <si>
    <t>aerith-dress</t>
  </si>
  <si>
    <t>aerith</t>
  </si>
  <si>
    <t>agrias</t>
  </si>
  <si>
    <t>akari</t>
  </si>
  <si>
    <t>alarmclock</t>
  </si>
  <si>
    <t>algus</t>
  </si>
  <si>
    <t>alma</t>
  </si>
  <si>
    <t>alphys</t>
  </si>
  <si>
    <t>amazon-female</t>
  </si>
  <si>
    <t>angeal</t>
  </si>
  <si>
    <t>anna</t>
  </si>
  <si>
    <t>antlion</t>
  </si>
  <si>
    <t>arc</t>
  </si>
  <si>
    <t>arcanemage</t>
  </si>
  <si>
    <t>archer-f</t>
  </si>
  <si>
    <t>archer-m</t>
  </si>
  <si>
    <t>aria</t>
  </si>
  <si>
    <t>arle</t>
  </si>
  <si>
    <t>arthur</t>
  </si>
  <si>
    <t>arvis</t>
  </si>
  <si>
    <t>ashe</t>
  </si>
  <si>
    <t>astronaut</t>
  </si>
  <si>
    <t>atma</t>
  </si>
  <si>
    <t>auron</t>
  </si>
  <si>
    <t>axel</t>
  </si>
  <si>
    <t>ayla</t>
  </si>
  <si>
    <t>baby</t>
  </si>
  <si>
    <t>baku</t>
  </si>
  <si>
    <t>balthier</t>
  </si>
  <si>
    <t>bananon</t>
  </si>
  <si>
    <t>bandit</t>
  </si>
  <si>
    <t>bangaa-rinok</t>
  </si>
  <si>
    <t>bangaa</t>
  </si>
  <si>
    <t>banjokazooie</t>
  </si>
  <si>
    <t>banon-wizard</t>
  </si>
  <si>
    <t>banon_riding</t>
  </si>
  <si>
    <t>barbariccia</t>
  </si>
  <si>
    <t>barret</t>
  </si>
  <si>
    <t>barthello</t>
  </si>
  <si>
    <t>bartz</t>
  </si>
  <si>
    <t>basch-beard</t>
  </si>
  <si>
    <t>basch</t>
  </si>
  <si>
    <t>batman</t>
  </si>
  <si>
    <t>beatrix</t>
  </si>
  <si>
    <t>beaver</t>
  </si>
  <si>
    <t>berserker</t>
  </si>
  <si>
    <t>biggs7</t>
  </si>
  <si>
    <t>biggsrk</t>
  </si>
  <si>
    <t>bird</t>
  </si>
  <si>
    <t>blackmage-f</t>
  </si>
  <si>
    <t>blackmage-magus</t>
  </si>
  <si>
    <t>blackmage-new</t>
  </si>
  <si>
    <t>blackmage-rouge</t>
  </si>
  <si>
    <t>blackmage</t>
  </si>
  <si>
    <t>blanc</t>
  </si>
  <si>
    <t>blank</t>
  </si>
  <si>
    <t>blaze</t>
  </si>
  <si>
    <t>bomb</t>
  </si>
  <si>
    <t>bomberman</t>
  </si>
  <si>
    <t>bombette</t>
  </si>
  <si>
    <t>borghen</t>
  </si>
  <si>
    <t>bowser</t>
  </si>
  <si>
    <t>bowserjr</t>
  </si>
  <si>
    <t>boy</t>
  </si>
  <si>
    <t>bubbledragon</t>
  </si>
  <si>
    <t>bucket</t>
  </si>
  <si>
    <t>bug</t>
  </si>
  <si>
    <t>bunnylink</t>
  </si>
  <si>
    <t>byuu</t>
  </si>
  <si>
    <t>cactuar</t>
  </si>
  <si>
    <t>cagnazzo</t>
  </si>
  <si>
    <t>caitsith</t>
  </si>
  <si>
    <t>cammy</t>
  </si>
  <si>
    <t>cat</t>
  </si>
  <si>
    <t>celes-amano</t>
  </si>
  <si>
    <t>celes-beatrix</t>
  </si>
  <si>
    <t>celes-opera</t>
  </si>
  <si>
    <t>celes-yuna</t>
  </si>
  <si>
    <t>ceodore</t>
  </si>
  <si>
    <t>cfalcon</t>
  </si>
  <si>
    <t>chair</t>
  </si>
  <si>
    <t>chancellor</t>
  </si>
  <si>
    <t>chaos</t>
  </si>
  <si>
    <t>chef</t>
  </si>
  <si>
    <t>chemist</t>
  </si>
  <si>
    <t>chen</t>
  </si>
  <si>
    <t>chocobo</t>
  </si>
  <si>
    <t>chunli</t>
  </si>
  <si>
    <t>chupon</t>
  </si>
  <si>
    <t>cid4</t>
  </si>
  <si>
    <t>cid5</t>
  </si>
  <si>
    <t>cid6</t>
  </si>
  <si>
    <t>cid7</t>
  </si>
  <si>
    <t>cirno</t>
  </si>
  <si>
    <t>cleon</t>
  </si>
  <si>
    <t>cloak</t>
  </si>
  <si>
    <t>clock</t>
  </si>
  <si>
    <t>cloud-child</t>
  </si>
  <si>
    <t>cloud-dress</t>
  </si>
  <si>
    <t>cloud</t>
  </si>
  <si>
    <t>clyde-edge</t>
  </si>
  <si>
    <t>clyde</t>
  </si>
  <si>
    <t>crono</t>
  </si>
  <si>
    <t>cucco</t>
  </si>
  <si>
    <t>cultist</t>
  </si>
  <si>
    <t>cyan-auron</t>
  </si>
  <si>
    <t>cyan-cape</t>
  </si>
  <si>
    <t>cyan-judge</t>
  </si>
  <si>
    <t>cyan-leo</t>
  </si>
  <si>
    <t>cyan-siegfried</t>
  </si>
  <si>
    <t>cyan-t</t>
  </si>
  <si>
    <t>cyan-tenzen</t>
  </si>
  <si>
    <t>cyrax</t>
  </si>
  <si>
    <t>cyrus</t>
  </si>
  <si>
    <t>dajh</t>
  </si>
  <si>
    <t>dancer</t>
  </si>
  <si>
    <t>dark-knight</t>
  </si>
  <si>
    <t>darkelf</t>
  </si>
  <si>
    <t>daryl</t>
  </si>
  <si>
    <t>datto</t>
  </si>
  <si>
    <t>deathadder</t>
  </si>
  <si>
    <t>decil</t>
  </si>
  <si>
    <t>delita-armor</t>
  </si>
  <si>
    <t>delita</t>
  </si>
  <si>
    <t>desch</t>
  </si>
  <si>
    <t>devout</t>
  </si>
  <si>
    <t>dogstahl</t>
  </si>
  <si>
    <t>dona</t>
  </si>
  <si>
    <t>doncorneo</t>
  </si>
  <si>
    <t>donkeykong</t>
  </si>
  <si>
    <t>doomguy</t>
  </si>
  <si>
    <t>door</t>
  </si>
  <si>
    <t>dorgann</t>
  </si>
  <si>
    <t>draco</t>
  </si>
  <si>
    <t>dragon</t>
  </si>
  <si>
    <t>drmog</t>
  </si>
  <si>
    <t>duran</t>
  </si>
  <si>
    <t>dycedarg</t>
  </si>
  <si>
    <t>edea</t>
  </si>
  <si>
    <t>edgar-gerad</t>
  </si>
  <si>
    <t>edge-child</t>
  </si>
  <si>
    <t>edge</t>
  </si>
  <si>
    <t>edward</t>
  </si>
  <si>
    <t>eggman</t>
  </si>
  <si>
    <t>eiko</t>
  </si>
  <si>
    <t>elarra</t>
  </si>
  <si>
    <t>elder</t>
  </si>
  <si>
    <t>elena</t>
  </si>
  <si>
    <t>ellone</t>
  </si>
  <si>
    <t>emperor</t>
  </si>
  <si>
    <t>esperterra</t>
  </si>
  <si>
    <t>esperterra_riding</t>
  </si>
  <si>
    <t>esperumaro</t>
  </si>
  <si>
    <t>excitebiker</t>
  </si>
  <si>
    <t>exdeath</t>
  </si>
  <si>
    <t>fairy</t>
  </si>
  <si>
    <t>falco</t>
  </si>
  <si>
    <t>fang</t>
  </si>
  <si>
    <t>faris</t>
  </si>
  <si>
    <t>figaroguard</t>
  </si>
  <si>
    <t>fighter-ff1</t>
  </si>
  <si>
    <t>fire</t>
  </si>
  <si>
    <t>firebrand</t>
  </si>
  <si>
    <t>firion</t>
  </si>
  <si>
    <t>fish</t>
  </si>
  <si>
    <t>fluteboy</t>
  </si>
  <si>
    <t>fouroldmen</t>
  </si>
  <si>
    <t>fran</t>
  </si>
  <si>
    <t>freya</t>
  </si>
  <si>
    <t>frieza</t>
  </si>
  <si>
    <t>frisk</t>
  </si>
  <si>
    <t>frog</t>
  </si>
  <si>
    <t>froggy</t>
  </si>
  <si>
    <t>froggyfrog</t>
  </si>
  <si>
    <t>frogster</t>
  </si>
  <si>
    <t>fusoya</t>
  </si>
  <si>
    <t>gabranth</t>
  </si>
  <si>
    <t>gaffgarion</t>
  </si>
  <si>
    <t>gaia-evo</t>
  </si>
  <si>
    <t>galbadiansoldier</t>
  </si>
  <si>
    <t>galuf</t>
  </si>
  <si>
    <t>garland</t>
  </si>
  <si>
    <t>garnet-gown</t>
  </si>
  <si>
    <t>garnet-whitemage</t>
  </si>
  <si>
    <t>garnet</t>
  </si>
  <si>
    <t>gau-fancy</t>
  </si>
  <si>
    <t>gau-shinything</t>
  </si>
  <si>
    <t>gau-zidane</t>
  </si>
  <si>
    <t>genesis</t>
  </si>
  <si>
    <t>geno</t>
  </si>
  <si>
    <t>gestahl</t>
  </si>
  <si>
    <t>ghost</t>
  </si>
  <si>
    <t>ghost_riding</t>
  </si>
  <si>
    <t>gilgamesh</t>
  </si>
  <si>
    <t>gilius</t>
  </si>
  <si>
    <t>girl</t>
  </si>
  <si>
    <t>gogo-exdeath</t>
  </si>
  <si>
    <t>gogo-t</t>
  </si>
  <si>
    <t>goku</t>
  </si>
  <si>
    <t>golbez</t>
  </si>
  <si>
    <t>gomezaddams</t>
  </si>
  <si>
    <t>gordon</t>
  </si>
  <si>
    <t>grandma</t>
  </si>
  <si>
    <t>guts</t>
  </si>
  <si>
    <t>guy</t>
  </si>
  <si>
    <t>hamlet</t>
  </si>
  <si>
    <t>hashirama</t>
  </si>
  <si>
    <t>headdy</t>
  </si>
  <si>
    <t>hidan</t>
  </si>
  <si>
    <t>hilda</t>
  </si>
  <si>
    <t>hojo</t>
  </si>
  <si>
    <t>holydragoon</t>
  </si>
  <si>
    <t>hoodedman</t>
  </si>
  <si>
    <t>hope</t>
  </si>
  <si>
    <t>hornytoad</t>
  </si>
  <si>
    <t>hotaru</t>
  </si>
  <si>
    <t>iffy</t>
  </si>
  <si>
    <t>illya-prisma</t>
  </si>
  <si>
    <t>imperialsoldier-amano</t>
  </si>
  <si>
    <t>imperialsoldier-cape</t>
  </si>
  <si>
    <t>imperialsoldier-female-face</t>
  </si>
  <si>
    <t>imperialsoldier-female</t>
  </si>
  <si>
    <t>impresario</t>
  </si>
  <si>
    <t>ingus</t>
  </si>
  <si>
    <t>interceptor</t>
  </si>
  <si>
    <t>iris</t>
  </si>
  <si>
    <t>irvine</t>
  </si>
  <si>
    <t>itachi</t>
  </si>
  <si>
    <t>jecht</t>
  </si>
  <si>
    <t>jennybot</t>
  </si>
  <si>
    <t>jessie7</t>
  </si>
  <si>
    <t>jevil</t>
  </si>
  <si>
    <t>johnny</t>
  </si>
  <si>
    <t>josef</t>
  </si>
  <si>
    <t>jripper</t>
  </si>
  <si>
    <t>judge</t>
  </si>
  <si>
    <t>kain</t>
  </si>
  <si>
    <t>kakashi-slash</t>
  </si>
  <si>
    <t>kakashi</t>
  </si>
  <si>
    <t>kakuzu</t>
  </si>
  <si>
    <t>kappa</t>
  </si>
  <si>
    <t>katarin</t>
  </si>
  <si>
    <t>kefka_riding</t>
  </si>
  <si>
    <t>kelgar</t>
  </si>
  <si>
    <t>kiki</t>
  </si>
  <si>
    <t>kimahri</t>
  </si>
  <si>
    <t>kirby</t>
  </si>
  <si>
    <t>kiros-soldier</t>
  </si>
  <si>
    <t>kisame</t>
  </si>
  <si>
    <t>knight</t>
  </si>
  <si>
    <t>knuckles</t>
  </si>
  <si>
    <t>konan</t>
  </si>
  <si>
    <t>krile</t>
  </si>
  <si>
    <t>kuja</t>
  </si>
  <si>
    <t>kula</t>
  </si>
  <si>
    <t>lady</t>
  </si>
  <si>
    <t>laguna-soldier</t>
  </si>
  <si>
    <t>laguna</t>
  </si>
  <si>
    <t>lamp</t>
  </si>
  <si>
    <t>larsa</t>
  </si>
  <si>
    <t>leila</t>
  </si>
  <si>
    <t>lemming</t>
  </si>
  <si>
    <t>lenna-beastmaster</t>
  </si>
  <si>
    <t>lenna-dancer</t>
  </si>
  <si>
    <t>lenna-knight</t>
  </si>
  <si>
    <t>lenna-mime</t>
  </si>
  <si>
    <t>lenna-ranger</t>
  </si>
  <si>
    <t>lenna-time-mage</t>
  </si>
  <si>
    <t>lenna-white-mage</t>
  </si>
  <si>
    <t>lenna</t>
  </si>
  <si>
    <t>leon</t>
  </si>
  <si>
    <t>leo_riding</t>
  </si>
  <si>
    <t>letty</t>
  </si>
  <si>
    <t>lightning</t>
  </si>
  <si>
    <t>lilith</t>
  </si>
  <si>
    <t>link</t>
  </si>
  <si>
    <t>locke-amano</t>
  </si>
  <si>
    <t>locke-draco</t>
  </si>
  <si>
    <t>locke-firion</t>
  </si>
  <si>
    <t>locke-squall</t>
  </si>
  <si>
    <t>lonewolf</t>
  </si>
  <si>
    <t>lovers</t>
  </si>
  <si>
    <t>lttp</t>
  </si>
  <si>
    <t>lucca</t>
  </si>
  <si>
    <t>lufia</t>
  </si>
  <si>
    <t>luigi</t>
  </si>
  <si>
    <t>lulu</t>
  </si>
  <si>
    <t>luneth</t>
  </si>
  <si>
    <t>madara</t>
  </si>
  <si>
    <t>maduin</t>
  </si>
  <si>
    <t>magicite</t>
  </si>
  <si>
    <t>magissa</t>
  </si>
  <si>
    <t>magneto</t>
  </si>
  <si>
    <t>magus</t>
  </si>
  <si>
    <t>maid</t>
  </si>
  <si>
    <t>malboro</t>
  </si>
  <si>
    <t>malin</t>
  </si>
  <si>
    <t>mallow</t>
  </si>
  <si>
    <t>man</t>
  </si>
  <si>
    <t>marcus</t>
  </si>
  <si>
    <t>maria</t>
  </si>
  <si>
    <t>marilith</t>
  </si>
  <si>
    <t>mario</t>
  </si>
  <si>
    <t>marisa</t>
  </si>
  <si>
    <t>marle</t>
  </si>
  <si>
    <t>master-ff1</t>
  </si>
  <si>
    <t>mastersword</t>
  </si>
  <si>
    <t>matoya</t>
  </si>
  <si>
    <t>maxim</t>
  </si>
  <si>
    <t>megaman</t>
  </si>
  <si>
    <t>merchant-amano</t>
  </si>
  <si>
    <t>merchant_riding</t>
  </si>
  <si>
    <t>metroid</t>
  </si>
  <si>
    <t>mid</t>
  </si>
  <si>
    <t>miluda</t>
  </si>
  <si>
    <t>mini</t>
  </si>
  <si>
    <t>minwu</t>
  </si>
  <si>
    <t>monk-f</t>
  </si>
  <si>
    <t>monk-m</t>
  </si>
  <si>
    <t>moogle-12</t>
  </si>
  <si>
    <t>moogle-caitsith</t>
  </si>
  <si>
    <t>moogle-geohat</t>
  </si>
  <si>
    <t>moogle-pj</t>
  </si>
  <si>
    <t>moogle-tonberry</t>
  </si>
  <si>
    <t>mrsaturn</t>
  </si>
  <si>
    <t>mustadio</t>
  </si>
  <si>
    <t>myers</t>
  </si>
  <si>
    <t>mysticknight</t>
  </si>
  <si>
    <t>nabaat</t>
  </si>
  <si>
    <t>nakoruru</t>
  </si>
  <si>
    <t>narsheguard</t>
  </si>
  <si>
    <t>neclord</t>
  </si>
  <si>
    <t>nepgear</t>
  </si>
  <si>
    <t>neptune-adult</t>
  </si>
  <si>
    <t>neptune</t>
  </si>
  <si>
    <t>ness</t>
  </si>
  <si>
    <t>ninja-female</t>
  </si>
  <si>
    <t>ninja</t>
  </si>
  <si>
    <t>noctis</t>
  </si>
  <si>
    <t>noire</t>
  </si>
  <si>
    <t>nora</t>
  </si>
  <si>
    <t>nun</t>
  </si>
  <si>
    <t>oddish</t>
  </si>
  <si>
    <t>officer-female</t>
  </si>
  <si>
    <t>ogbanon</t>
  </si>
  <si>
    <t>ogceles</t>
  </si>
  <si>
    <t>ogcyan</t>
  </si>
  <si>
    <t>ogedgar</t>
  </si>
  <si>
    <t>ogesperterra</t>
  </si>
  <si>
    <t>oggau</t>
  </si>
  <si>
    <t>ogghost</t>
  </si>
  <si>
    <t>oggogo</t>
  </si>
  <si>
    <t>ogimp</t>
  </si>
  <si>
    <t>ogkefka</t>
  </si>
  <si>
    <t>ogleo</t>
  </si>
  <si>
    <t>oglocke</t>
  </si>
  <si>
    <t>oglop-cid</t>
  </si>
  <si>
    <t>ogmerchant</t>
  </si>
  <si>
    <t>ogmog</t>
  </si>
  <si>
    <t>ogrelm</t>
  </si>
  <si>
    <t>ogsabin</t>
  </si>
  <si>
    <t>ogsetzer</t>
  </si>
  <si>
    <t>ogshadow</t>
  </si>
  <si>
    <t>ogstrago</t>
  </si>
  <si>
    <t>ogterra</t>
  </si>
  <si>
    <t>ogtrooper</t>
  </si>
  <si>
    <t>ogumaro</t>
  </si>
  <si>
    <t>oldman</t>
  </si>
  <si>
    <t>omega</t>
  </si>
  <si>
    <t>onionknight</t>
  </si>
  <si>
    <t>opaopa</t>
  </si>
  <si>
    <t>orlandu</t>
  </si>
  <si>
    <t>orochimaru</t>
  </si>
  <si>
    <t>ovelia</t>
  </si>
  <si>
    <t>palom-tay</t>
  </si>
  <si>
    <t>palom</t>
  </si>
  <si>
    <t>panda</t>
  </si>
  <si>
    <t>papyrus</t>
  </si>
  <si>
    <t>paul</t>
  </si>
  <si>
    <t>peach</t>
  </si>
  <si>
    <t>pecil</t>
  </si>
  <si>
    <t>penelo</t>
  </si>
  <si>
    <t>pepsiman</t>
  </si>
  <si>
    <t>pig</t>
  </si>
  <si>
    <t>pikachu-retro</t>
  </si>
  <si>
    <t>piranhaplant</t>
  </si>
  <si>
    <t>pm-ghost</t>
  </si>
  <si>
    <t>pooka</t>
  </si>
  <si>
    <t>popo</t>
  </si>
  <si>
    <t>porom-tay</t>
  </si>
  <si>
    <t>porom</t>
  </si>
  <si>
    <t>potato</t>
  </si>
  <si>
    <t>predator</t>
  </si>
  <si>
    <t>prisoner</t>
  </si>
  <si>
    <t>psicom</t>
  </si>
  <si>
    <t>purgedeportee</t>
  </si>
  <si>
    <t>purplepikmin</t>
  </si>
  <si>
    <t>queenbrahne</t>
  </si>
  <si>
    <t>quina</t>
  </si>
  <si>
    <t>quistis</t>
  </si>
  <si>
    <t>rachel</t>
  </si>
  <si>
    <t>raditz</t>
  </si>
  <si>
    <t>ramza</t>
  </si>
  <si>
    <t>ramza1</t>
  </si>
  <si>
    <t>rash</t>
  </si>
  <si>
    <t>reaper</t>
  </si>
  <si>
    <t>red</t>
  </si>
  <si>
    <t>redmage</t>
  </si>
  <si>
    <t>redxiii</t>
  </si>
  <si>
    <t>redxiii4s</t>
  </si>
  <si>
    <t>refia</t>
  </si>
  <si>
    <t>reimu</t>
  </si>
  <si>
    <t>relm-adult</t>
  </si>
  <si>
    <t>relm-amano</t>
  </si>
  <si>
    <t>relm-krile</t>
  </si>
  <si>
    <t>relm-shantotto</t>
  </si>
  <si>
    <t>relm-whitemage</t>
  </si>
  <si>
    <t>relm-yuffie</t>
  </si>
  <si>
    <t>relm-yuna</t>
  </si>
  <si>
    <t>reno</t>
  </si>
  <si>
    <t>returner-warrior</t>
  </si>
  <si>
    <t>returner</t>
  </si>
  <si>
    <t>ricard</t>
  </si>
  <si>
    <t>ridley</t>
  </si>
  <si>
    <t>rikku-divesuit</t>
  </si>
  <si>
    <t>rikku</t>
  </si>
  <si>
    <t>rimururu</t>
  </si>
  <si>
    <t>rinoa-dress</t>
  </si>
  <si>
    <t>rinoa</t>
  </si>
  <si>
    <t>robo</t>
  </si>
  <si>
    <t>rom</t>
  </si>
  <si>
    <t>rosa</t>
  </si>
  <si>
    <t>rubicante</t>
  </si>
  <si>
    <t>rude</t>
  </si>
  <si>
    <t>rufus</t>
  </si>
  <si>
    <t>rumia</t>
  </si>
  <si>
    <t>rydia-child</t>
  </si>
  <si>
    <t>rydia</t>
  </si>
  <si>
    <t>ryubof</t>
  </si>
  <si>
    <t>ryusf</t>
  </si>
  <si>
    <t>sabin-edgar</t>
  </si>
  <si>
    <t>sabin-seifer</t>
  </si>
  <si>
    <t>sabin-t</t>
  </si>
  <si>
    <t>sabin-vargas</t>
  </si>
  <si>
    <t>sabin-wakka</t>
  </si>
  <si>
    <t>sakuya</t>
  </si>
  <si>
    <t>samehada</t>
  </si>
  <si>
    <t>samurai</t>
  </si>
  <si>
    <t>samus-zero</t>
  </si>
  <si>
    <t>samus</t>
  </si>
  <si>
    <t>sanae</t>
  </si>
  <si>
    <t>sans</t>
  </si>
  <si>
    <t>sarah</t>
  </si>
  <si>
    <t>sarisa</t>
  </si>
  <si>
    <t>sasori</t>
  </si>
  <si>
    <t>sazh</t>
  </si>
  <si>
    <t>scarmiglione</t>
  </si>
  <si>
    <t>schala</t>
  </si>
  <si>
    <t>scholar</t>
  </si>
  <si>
    <t>scientist-f</t>
  </si>
  <si>
    <t>scorpion</t>
  </si>
  <si>
    <t>scott</t>
  </si>
  <si>
    <t>seeq</t>
  </si>
  <si>
    <t>seifer</t>
  </si>
  <si>
    <t>selphie-uniform</t>
  </si>
  <si>
    <t>selphie</t>
  </si>
  <si>
    <t>sephiroth</t>
  </si>
  <si>
    <t>serafie</t>
  </si>
  <si>
    <t>serah</t>
  </si>
  <si>
    <t>seymour</t>
  </si>
  <si>
    <t>shadowsmith</t>
  </si>
  <si>
    <t>shantotto</t>
  </si>
  <si>
    <t>sherlotta</t>
  </si>
  <si>
    <t>shopkeeper</t>
  </si>
  <si>
    <t>siegfried</t>
  </si>
  <si>
    <t>simon</t>
  </si>
  <si>
    <t>sion</t>
  </si>
  <si>
    <t>slash</t>
  </si>
  <si>
    <t>slime</t>
  </si>
  <si>
    <t>snow</t>
  </si>
  <si>
    <t>soeboy</t>
  </si>
  <si>
    <t>soepoodle</t>
  </si>
  <si>
    <t>soewolfdog</t>
  </si>
  <si>
    <t>soldier9</t>
  </si>
  <si>
    <t>sonic</t>
  </si>
  <si>
    <t>sora</t>
  </si>
  <si>
    <t>spawn</t>
  </si>
  <si>
    <t>spiderman</t>
  </si>
  <si>
    <t>squall-uniform</t>
  </si>
  <si>
    <t>squall</t>
  </si>
  <si>
    <t>squire</t>
  </si>
  <si>
    <t>stalfos</t>
  </si>
  <si>
    <t>starfox</t>
  </si>
  <si>
    <t>starwolf</t>
  </si>
  <si>
    <t>steiner</t>
  </si>
  <si>
    <t>stiltzkin</t>
  </si>
  <si>
    <t>strago-blackmage</t>
  </si>
  <si>
    <t>strago-cid</t>
  </si>
  <si>
    <t>strago-fusoya</t>
  </si>
  <si>
    <t>strago-t</t>
  </si>
  <si>
    <t>strago-tellah</t>
  </si>
  <si>
    <t>superbuu</t>
  </si>
  <si>
    <t>t260g</t>
  </si>
  <si>
    <t>tails</t>
  </si>
  <si>
    <t>talim</t>
  </si>
  <si>
    <t>teddie</t>
  </si>
  <si>
    <t>tellah</t>
  </si>
  <si>
    <t>terra-amano</t>
  </si>
  <si>
    <t>terra-child</t>
  </si>
  <si>
    <t>terra-dress</t>
  </si>
  <si>
    <t>terra-rydia</t>
  </si>
  <si>
    <t>teta</t>
  </si>
  <si>
    <t>thief-ff1</t>
  </si>
  <si>
    <t>thieffft</t>
  </si>
  <si>
    <t>tiamat</t>
  </si>
  <si>
    <t>tidus</t>
  </si>
  <si>
    <t>tifa-child</t>
  </si>
  <si>
    <t>tifa-cowgirl</t>
  </si>
  <si>
    <t>tifa-dress</t>
  </si>
  <si>
    <t>tifa</t>
  </si>
  <si>
    <t>tina</t>
  </si>
  <si>
    <t>tingle</t>
  </si>
  <si>
    <t>tinymoogle</t>
  </si>
  <si>
    <t>toadette</t>
  </si>
  <si>
    <t>tobi</t>
  </si>
  <si>
    <t>tohka</t>
  </si>
  <si>
    <t>tombstone</t>
  </si>
  <si>
    <t>tonberry</t>
  </si>
  <si>
    <t>tonberryking</t>
  </si>
  <si>
    <t>toriel</t>
  </si>
  <si>
    <t>trainconductor</t>
  </si>
  <si>
    <t>treasurechest</t>
  </si>
  <si>
    <t>tree</t>
  </si>
  <si>
    <t>turtle</t>
  </si>
  <si>
    <t>tyro</t>
  </si>
  <si>
    <t>ultros</t>
  </si>
  <si>
    <t>umaro-banon</t>
  </si>
  <si>
    <t>umaro-kimahri</t>
  </si>
  <si>
    <t>uni</t>
  </si>
  <si>
    <t>ursula</t>
  </si>
  <si>
    <t>vaan</t>
  </si>
  <si>
    <t>vader</t>
  </si>
  <si>
    <t>valkyrie</t>
  </si>
  <si>
    <t>van</t>
  </si>
  <si>
    <t>vanille</t>
  </si>
  <si>
    <t>vargas</t>
  </si>
  <si>
    <t>vayne</t>
  </si>
  <si>
    <t>vert</t>
  </si>
  <si>
    <t>vincent</t>
  </si>
  <si>
    <t>vivi</t>
  </si>
  <si>
    <t>vomammoth</t>
  </si>
  <si>
    <t>vormav</t>
  </si>
  <si>
    <t>vossler-judge-helm</t>
  </si>
  <si>
    <t>vossler-judge</t>
  </si>
  <si>
    <t>wakka</t>
  </si>
  <si>
    <t>ward-soldier</t>
  </si>
  <si>
    <t>warrioroflight</t>
  </si>
  <si>
    <t>wedge7</t>
  </si>
  <si>
    <t>wedgerk</t>
  </si>
  <si>
    <t>whitemage-f</t>
  </si>
  <si>
    <t>whitemage</t>
  </si>
  <si>
    <t>wiegraf</t>
  </si>
  <si>
    <t>wolfdog</t>
  </si>
  <si>
    <t>wolverine</t>
  </si>
  <si>
    <t>xenomorph</t>
  </si>
  <si>
    <t>xezhat</t>
  </si>
  <si>
    <t>yang</t>
  </si>
  <si>
    <t>yoshi</t>
  </si>
  <si>
    <t>yuffie</t>
  </si>
  <si>
    <t>yuna</t>
  </si>
  <si>
    <t>yura</t>
  </si>
  <si>
    <t>zack</t>
  </si>
  <si>
    <t>zalbag</t>
  </si>
  <si>
    <t>zelda</t>
  </si>
  <si>
    <t>zell</t>
  </si>
  <si>
    <t>zetsu</t>
  </si>
  <si>
    <t>zidane</t>
  </si>
  <si>
    <t>zombie</t>
  </si>
  <si>
    <t>581 sprites from Beyond Chaos</t>
  </si>
  <si>
    <t>3tweight-p</t>
  </si>
  <si>
    <t>aerith-p</t>
  </si>
  <si>
    <t>agrias-p</t>
  </si>
  <si>
    <t>akari-p</t>
  </si>
  <si>
    <t>alarmclock-p</t>
  </si>
  <si>
    <t>algus-p</t>
  </si>
  <si>
    <t>alma-p</t>
  </si>
  <si>
    <t>alphys-p</t>
  </si>
  <si>
    <t>amazon-female-p</t>
  </si>
  <si>
    <t>anna-p</t>
  </si>
  <si>
    <t>antlion-p</t>
  </si>
  <si>
    <t>arc-p</t>
  </si>
  <si>
    <t>arcanemage-p</t>
  </si>
  <si>
    <t>archer-f-p</t>
  </si>
  <si>
    <t>archer-m-p</t>
  </si>
  <si>
    <t>aria-p</t>
  </si>
  <si>
    <t>arle-p</t>
  </si>
  <si>
    <t>arthur-p</t>
  </si>
  <si>
    <t>arvis-p</t>
  </si>
  <si>
    <t>ashe-p</t>
  </si>
  <si>
    <t>astronaut-p</t>
  </si>
  <si>
    <t>atma-p</t>
  </si>
  <si>
    <t>auron-p</t>
  </si>
  <si>
    <t>axel-p</t>
  </si>
  <si>
    <t>ayla-p</t>
  </si>
  <si>
    <t>baby-p</t>
  </si>
  <si>
    <t>baku-p</t>
  </si>
  <si>
    <t>balthier-p</t>
  </si>
  <si>
    <t>bananon-p</t>
  </si>
  <si>
    <t>bandit-p</t>
  </si>
  <si>
    <t>bangaa-p</t>
  </si>
  <si>
    <t>banjokazooie-p</t>
  </si>
  <si>
    <t>barbariccia-p</t>
  </si>
  <si>
    <t>barret-p</t>
  </si>
  <si>
    <t>barthello-p</t>
  </si>
  <si>
    <t>bartz-p</t>
  </si>
  <si>
    <t>basch-p</t>
  </si>
  <si>
    <t>batman-p</t>
  </si>
  <si>
    <t>beatrix-p</t>
  </si>
  <si>
    <t>beaver-p</t>
  </si>
  <si>
    <t>berserker-p</t>
  </si>
  <si>
    <t>biggs7-p</t>
  </si>
  <si>
    <t>bird-p</t>
  </si>
  <si>
    <t>blackmage-f-p</t>
  </si>
  <si>
    <t>blackmage-magus-p</t>
  </si>
  <si>
    <t>blackmage-p</t>
  </si>
  <si>
    <t>blanc-p</t>
  </si>
  <si>
    <t>blank-p</t>
  </si>
  <si>
    <t>blaze-p</t>
  </si>
  <si>
    <t>bomb-p</t>
  </si>
  <si>
    <t>bomberman-p</t>
  </si>
  <si>
    <t>bombette-p</t>
  </si>
  <si>
    <t>borghen-p</t>
  </si>
  <si>
    <t>bowser-p</t>
  </si>
  <si>
    <t>bowserjr-p</t>
  </si>
  <si>
    <t>boy-p</t>
  </si>
  <si>
    <t>bubbledragon-p</t>
  </si>
  <si>
    <t>bucket-p</t>
  </si>
  <si>
    <t>bug-p</t>
  </si>
  <si>
    <t>bunnylink-p</t>
  </si>
  <si>
    <t>byuu-p</t>
  </si>
  <si>
    <t>cactuar-p</t>
  </si>
  <si>
    <t>cagnazzo-p</t>
  </si>
  <si>
    <t>caitsith-p</t>
  </si>
  <si>
    <t>cammy-p</t>
  </si>
  <si>
    <t>cat-p</t>
  </si>
  <si>
    <t>celes-beatrix-p</t>
  </si>
  <si>
    <t>celes-opera-p</t>
  </si>
  <si>
    <t>ceodore-p</t>
  </si>
  <si>
    <t>cfalcon-p</t>
  </si>
  <si>
    <t>chair-p</t>
  </si>
  <si>
    <t>chancellor-p</t>
  </si>
  <si>
    <t>chaos-p</t>
  </si>
  <si>
    <t>chef-p</t>
  </si>
  <si>
    <t>chemist-p</t>
  </si>
  <si>
    <t>chen-p</t>
  </si>
  <si>
    <t>chocobo-p</t>
  </si>
  <si>
    <t>chunli-p</t>
  </si>
  <si>
    <t>chupon-p</t>
  </si>
  <si>
    <t>cid4-p</t>
  </si>
  <si>
    <t>cid5-p</t>
  </si>
  <si>
    <t>cid6-p</t>
  </si>
  <si>
    <t>cid7-p</t>
  </si>
  <si>
    <t>cinna-p</t>
  </si>
  <si>
    <t>cirno-p</t>
  </si>
  <si>
    <t>cleon-p</t>
  </si>
  <si>
    <t>cloak-p</t>
  </si>
  <si>
    <t>clock-p</t>
  </si>
  <si>
    <t>cloud-dress-p</t>
  </si>
  <si>
    <t>cloud-p</t>
  </si>
  <si>
    <t>clyde-edge-p</t>
  </si>
  <si>
    <t>clyde-p</t>
  </si>
  <si>
    <t>crono-p</t>
  </si>
  <si>
    <t>cucco-p</t>
  </si>
  <si>
    <t>cultist-p</t>
  </si>
  <si>
    <t>cyan-auron-p</t>
  </si>
  <si>
    <t>cyan-judge-p</t>
  </si>
  <si>
    <t>cyan-siegfried-p</t>
  </si>
  <si>
    <t>cyan-tenzen-p</t>
  </si>
  <si>
    <t>cyrax-p</t>
  </si>
  <si>
    <t>cyrus-p</t>
  </si>
  <si>
    <t>dajh-p</t>
  </si>
  <si>
    <t>dancer-p</t>
  </si>
  <si>
    <t>dark-knight-p</t>
  </si>
  <si>
    <t>darkelf-p</t>
  </si>
  <si>
    <t>daryl-p</t>
  </si>
  <si>
    <t>datto-p</t>
  </si>
  <si>
    <t>deathadder-p</t>
  </si>
  <si>
    <t>decil-p</t>
  </si>
  <si>
    <t>delita-armor-p</t>
  </si>
  <si>
    <t>delita-p</t>
  </si>
  <si>
    <t>desch-p</t>
  </si>
  <si>
    <t>devout-p</t>
  </si>
  <si>
    <t>dogstahl-p</t>
  </si>
  <si>
    <t>dona-p</t>
  </si>
  <si>
    <t>doncorneo-p</t>
  </si>
  <si>
    <t>donkeykong-p</t>
  </si>
  <si>
    <t>doomguy-p</t>
  </si>
  <si>
    <t>door-p</t>
  </si>
  <si>
    <t>dorgann-p</t>
  </si>
  <si>
    <t>draco-p</t>
  </si>
  <si>
    <t>dragon-p</t>
  </si>
  <si>
    <t>drmog-p</t>
  </si>
  <si>
    <t>duran-p</t>
  </si>
  <si>
    <t>dycedarg-p</t>
  </si>
  <si>
    <t>edea-p</t>
  </si>
  <si>
    <t>edgar-gerad-p</t>
  </si>
  <si>
    <t>edge-child-p</t>
  </si>
  <si>
    <t>edge-p</t>
  </si>
  <si>
    <t>edward-p</t>
  </si>
  <si>
    <t>eggman-p</t>
  </si>
  <si>
    <t>eiko-p</t>
  </si>
  <si>
    <t>elarra-p</t>
  </si>
  <si>
    <t>elder-p</t>
  </si>
  <si>
    <t>elena-p</t>
  </si>
  <si>
    <t>ellone-p</t>
  </si>
  <si>
    <t>emperor-p</t>
  </si>
  <si>
    <t>esperterra-p</t>
  </si>
  <si>
    <t>esperumaro-p</t>
  </si>
  <si>
    <t>excitebiker-p</t>
  </si>
  <si>
    <t>exdeath-p</t>
  </si>
  <si>
    <t>fairy-p</t>
  </si>
  <si>
    <t>falco-p</t>
  </si>
  <si>
    <t>fang-p</t>
  </si>
  <si>
    <t>faris-p</t>
  </si>
  <si>
    <t>figaroguard-p</t>
  </si>
  <si>
    <t>fighter-ff1-p</t>
  </si>
  <si>
    <t>fire-p</t>
  </si>
  <si>
    <t>firebrand-p</t>
  </si>
  <si>
    <t>firion-p</t>
  </si>
  <si>
    <t>fish-p</t>
  </si>
  <si>
    <t>fluteboy-p</t>
  </si>
  <si>
    <t>fouroldmen-p</t>
  </si>
  <si>
    <t>fran-p</t>
  </si>
  <si>
    <t>freya-p</t>
  </si>
  <si>
    <t>frieza-p</t>
  </si>
  <si>
    <t>frisk-p</t>
  </si>
  <si>
    <t>frog-p</t>
  </si>
  <si>
    <t>froggy-p</t>
  </si>
  <si>
    <t>frogster-p</t>
  </si>
  <si>
    <t>fusoya-p</t>
  </si>
  <si>
    <t>gabranth-p</t>
  </si>
  <si>
    <t>gaffgarion-p</t>
  </si>
  <si>
    <t>gaia-evo-p</t>
  </si>
  <si>
    <t>galbadiansoldier-p</t>
  </si>
  <si>
    <t>galuf-p</t>
  </si>
  <si>
    <t>garland-p</t>
  </si>
  <si>
    <t>garnet-p</t>
  </si>
  <si>
    <t>gau-fancy-p</t>
  </si>
  <si>
    <t>gau-shinything-p</t>
  </si>
  <si>
    <t>gau-zidane-p</t>
  </si>
  <si>
    <t>genesis-p</t>
  </si>
  <si>
    <t>geno-p</t>
  </si>
  <si>
    <t>gestahl-p</t>
  </si>
  <si>
    <t>gilgamesh-p</t>
  </si>
  <si>
    <t>gilius-p</t>
  </si>
  <si>
    <t>girl-p</t>
  </si>
  <si>
    <t>goku-p</t>
  </si>
  <si>
    <t>golbez-p</t>
  </si>
  <si>
    <t>gomezaddams-p</t>
  </si>
  <si>
    <t>gordon-p</t>
  </si>
  <si>
    <t>grandma-p</t>
  </si>
  <si>
    <t>guts-p</t>
  </si>
  <si>
    <t>guy-p</t>
  </si>
  <si>
    <t>hamlet-p</t>
  </si>
  <si>
    <t>hashirama-p</t>
  </si>
  <si>
    <t>headdy-p</t>
  </si>
  <si>
    <t>hidan-p</t>
  </si>
  <si>
    <t>hilda-p</t>
  </si>
  <si>
    <t>hojo-p</t>
  </si>
  <si>
    <t>holydragoon-p</t>
  </si>
  <si>
    <t>hoodedman-p</t>
  </si>
  <si>
    <t>hope-p</t>
  </si>
  <si>
    <t>hotaru-p</t>
  </si>
  <si>
    <t>iffy-p</t>
  </si>
  <si>
    <t>illya-prisma-p</t>
  </si>
  <si>
    <t>imperialsoldier-amano-p</t>
  </si>
  <si>
    <t>imperialsoldier-female-face-p</t>
  </si>
  <si>
    <t>imperialsoldier-female-p</t>
  </si>
  <si>
    <t>impresario-p</t>
  </si>
  <si>
    <t>ingus-p</t>
  </si>
  <si>
    <t>interceptor-p</t>
  </si>
  <si>
    <t>invisible-p</t>
  </si>
  <si>
    <t>iris-p</t>
  </si>
  <si>
    <t>irvine-p</t>
  </si>
  <si>
    <t>itachi-p</t>
  </si>
  <si>
    <t>jecht-p</t>
  </si>
  <si>
    <t>jennybot-p</t>
  </si>
  <si>
    <t>jessie7-p</t>
  </si>
  <si>
    <t>jevil-p</t>
  </si>
  <si>
    <t>johnny-p</t>
  </si>
  <si>
    <t>josef-p</t>
  </si>
  <si>
    <t>jripper-p</t>
  </si>
  <si>
    <t>judge-p</t>
  </si>
  <si>
    <t>kain-p</t>
  </si>
  <si>
    <t>kakashi-p</t>
  </si>
  <si>
    <t>kakashi-slash-p</t>
  </si>
  <si>
    <t>kakuzu-p</t>
  </si>
  <si>
    <t>katarin-p</t>
  </si>
  <si>
    <t>kefka-p</t>
  </si>
  <si>
    <t>kelgar-p</t>
  </si>
  <si>
    <t>kiki-p</t>
  </si>
  <si>
    <t>kimahri-p</t>
  </si>
  <si>
    <t>kirby-p</t>
  </si>
  <si>
    <t>kiros-p</t>
  </si>
  <si>
    <t>kisame-p</t>
  </si>
  <si>
    <t>knight-p</t>
  </si>
  <si>
    <t>knuckles-p</t>
  </si>
  <si>
    <t>konan-p</t>
  </si>
  <si>
    <t>krile-p</t>
  </si>
  <si>
    <t>kuja-p</t>
  </si>
  <si>
    <t>kula-p</t>
  </si>
  <si>
    <t>lady-p</t>
  </si>
  <si>
    <t>laguna-p</t>
  </si>
  <si>
    <t>lamp-p</t>
  </si>
  <si>
    <t>larsa-p</t>
  </si>
  <si>
    <t>leila-p</t>
  </si>
  <si>
    <t>lemming-p</t>
  </si>
  <si>
    <t>lenna-dancer-p</t>
  </si>
  <si>
    <t>lenna-p</t>
  </si>
  <si>
    <t>lenna-ranger-p</t>
  </si>
  <si>
    <t>lenna-time-mage-p</t>
  </si>
  <si>
    <t>lenna-white-mage-p</t>
  </si>
  <si>
    <t>leon-p</t>
  </si>
  <si>
    <t>letty-p</t>
  </si>
  <si>
    <t>lightning-p</t>
  </si>
  <si>
    <t>lilith-p</t>
  </si>
  <si>
    <t>link-p</t>
  </si>
  <si>
    <t>locke-amano-p</t>
  </si>
  <si>
    <t>locke-draco-p</t>
  </si>
  <si>
    <t>locke-firion-p</t>
  </si>
  <si>
    <t>locke-squall-p</t>
  </si>
  <si>
    <t>lonewolf-p</t>
  </si>
  <si>
    <t>lovers-p</t>
  </si>
  <si>
    <t>lttp-p</t>
  </si>
  <si>
    <t>lucca-p</t>
  </si>
  <si>
    <t>lufia-p</t>
  </si>
  <si>
    <t>luigi-p</t>
  </si>
  <si>
    <t>lulu-p</t>
  </si>
  <si>
    <t>luneth-p</t>
  </si>
  <si>
    <t>madara-p</t>
  </si>
  <si>
    <t>maduin-p</t>
  </si>
  <si>
    <t>magicite-p</t>
  </si>
  <si>
    <t>magissa-p</t>
  </si>
  <si>
    <t>magneto-p</t>
  </si>
  <si>
    <t>magus-p</t>
  </si>
  <si>
    <t>maid-p</t>
  </si>
  <si>
    <t>malboro-p</t>
  </si>
  <si>
    <t>malin-p</t>
  </si>
  <si>
    <t>mallow-p</t>
  </si>
  <si>
    <t>man-p</t>
  </si>
  <si>
    <t>marcus-p</t>
  </si>
  <si>
    <t>maria-p</t>
  </si>
  <si>
    <t>mario-p</t>
  </si>
  <si>
    <t>marisa-p</t>
  </si>
  <si>
    <t>marle-p</t>
  </si>
  <si>
    <t>master-ff1-p</t>
  </si>
  <si>
    <t>mastersword-p</t>
  </si>
  <si>
    <t>matoya-p</t>
  </si>
  <si>
    <t>maxim-p</t>
  </si>
  <si>
    <t>megaman-p</t>
  </si>
  <si>
    <t>merchant-amano-p</t>
  </si>
  <si>
    <t>metroid-p</t>
  </si>
  <si>
    <t>mid-p</t>
  </si>
  <si>
    <t>miluda-p</t>
  </si>
  <si>
    <t>mini-p</t>
  </si>
  <si>
    <t>minwu-p</t>
  </si>
  <si>
    <t>monk-f-p</t>
  </si>
  <si>
    <t>monk-m-p</t>
  </si>
  <si>
    <t>moogle-12-p</t>
  </si>
  <si>
    <t>moogle-caitsith-p</t>
  </si>
  <si>
    <t>moogle-geohat-p</t>
  </si>
  <si>
    <t>moogle-pj-p</t>
  </si>
  <si>
    <t>mrsaturn-p</t>
  </si>
  <si>
    <t>mustadio-p</t>
  </si>
  <si>
    <t>myers-p</t>
  </si>
  <si>
    <t>mysticknight-p</t>
  </si>
  <si>
    <t>nabaat-p</t>
  </si>
  <si>
    <t>nakoruru-p</t>
  </si>
  <si>
    <t>narsheguard-p</t>
  </si>
  <si>
    <t>neclord-p</t>
  </si>
  <si>
    <t>nepgear-p</t>
  </si>
  <si>
    <t>neptune-adult-p</t>
  </si>
  <si>
    <t>neptune-p</t>
  </si>
  <si>
    <t>ness-p</t>
  </si>
  <si>
    <t>ninja-female-p</t>
  </si>
  <si>
    <t>ninja-p</t>
  </si>
  <si>
    <t>noctis-p</t>
  </si>
  <si>
    <t>noire-p</t>
  </si>
  <si>
    <t>nora-p</t>
  </si>
  <si>
    <t>nun-p</t>
  </si>
  <si>
    <t>oddish-p</t>
  </si>
  <si>
    <t>officer-female-p</t>
  </si>
  <si>
    <t>oglop-p</t>
  </si>
  <si>
    <t>oldman-p</t>
  </si>
  <si>
    <t>omega-p</t>
  </si>
  <si>
    <t>onionknight-p</t>
  </si>
  <si>
    <t>opaopa-p</t>
  </si>
  <si>
    <t>orlandu-p</t>
  </si>
  <si>
    <t>orochimaru-p</t>
  </si>
  <si>
    <t>ovelia-p</t>
  </si>
  <si>
    <t>palom-p</t>
  </si>
  <si>
    <t>palom-tay-p</t>
  </si>
  <si>
    <t>panda-p</t>
  </si>
  <si>
    <t>papyrus-p</t>
  </si>
  <si>
    <t>paul-p</t>
  </si>
  <si>
    <t>peach-p</t>
  </si>
  <si>
    <t>pecil-p</t>
  </si>
  <si>
    <t>penelo-p</t>
  </si>
  <si>
    <t>Pepsiman-p</t>
  </si>
  <si>
    <t>pig-p</t>
  </si>
  <si>
    <t>pikachu-retro-p</t>
  </si>
  <si>
    <t>piranhaplant-p</t>
  </si>
  <si>
    <t>pm-ghost-p</t>
  </si>
  <si>
    <t>pooka-p</t>
  </si>
  <si>
    <t>popo-p</t>
  </si>
  <si>
    <t>porom-p</t>
  </si>
  <si>
    <t>porom-tay-p</t>
  </si>
  <si>
    <t>potato-p</t>
  </si>
  <si>
    <t>predator-p</t>
  </si>
  <si>
    <t>prisoner-p</t>
  </si>
  <si>
    <t>psicom-p</t>
  </si>
  <si>
    <t>purgedeportee-p</t>
  </si>
  <si>
    <t>purplepikmin-p</t>
  </si>
  <si>
    <t>queenbrahne-p</t>
  </si>
  <si>
    <t>quina-p</t>
  </si>
  <si>
    <t>quistis-p</t>
  </si>
  <si>
    <t>rachel-p</t>
  </si>
  <si>
    <t>raditz-p</t>
  </si>
  <si>
    <t>ramza-p</t>
  </si>
  <si>
    <t>ramza1-p</t>
  </si>
  <si>
    <t>rash-p</t>
  </si>
  <si>
    <t>reaper-p</t>
  </si>
  <si>
    <t>red-p</t>
  </si>
  <si>
    <t>redmage-p</t>
  </si>
  <si>
    <t>redxiii-p</t>
  </si>
  <si>
    <t>refia-p</t>
  </si>
  <si>
    <t>reimu-p</t>
  </si>
  <si>
    <t>relm-amano-p</t>
  </si>
  <si>
    <t>relm-krile-p</t>
  </si>
  <si>
    <t>relm-shantotto-p</t>
  </si>
  <si>
    <t>relm-whitemage-p</t>
  </si>
  <si>
    <t>reno-p</t>
  </si>
  <si>
    <t>returner-p</t>
  </si>
  <si>
    <t>ricard-p</t>
  </si>
  <si>
    <t>ridley-p</t>
  </si>
  <si>
    <t>rikku-p</t>
  </si>
  <si>
    <t>rimururu-p</t>
  </si>
  <si>
    <t>rinoa-p</t>
  </si>
  <si>
    <t>robo-p</t>
  </si>
  <si>
    <t>rom-p</t>
  </si>
  <si>
    <t>rosa-p</t>
  </si>
  <si>
    <t>rubicante-p</t>
  </si>
  <si>
    <t>rude-p</t>
  </si>
  <si>
    <t>rufus-p</t>
  </si>
  <si>
    <t>rumia-p</t>
  </si>
  <si>
    <t>rydia-child-p</t>
  </si>
  <si>
    <t>rydia-p</t>
  </si>
  <si>
    <t>ryubof-p</t>
  </si>
  <si>
    <t>ryusf-p</t>
  </si>
  <si>
    <t>sabin-edgar-p</t>
  </si>
  <si>
    <t>sabin-seifer-p</t>
  </si>
  <si>
    <t>sabin-t-p</t>
  </si>
  <si>
    <t>sabin-wakka-p</t>
  </si>
  <si>
    <t>sakuya-p</t>
  </si>
  <si>
    <t>samehada-p</t>
  </si>
  <si>
    <t>samurai-p</t>
  </si>
  <si>
    <t>samus-p</t>
  </si>
  <si>
    <t>samus-zero-p</t>
  </si>
  <si>
    <t>sanae-p</t>
  </si>
  <si>
    <t>sans-p</t>
  </si>
  <si>
    <t>sarah-p</t>
  </si>
  <si>
    <t>sarisa-p</t>
  </si>
  <si>
    <t>sasori-p</t>
  </si>
  <si>
    <t>sazh-p</t>
  </si>
  <si>
    <t>scarmiglione-p</t>
  </si>
  <si>
    <t>schala-p</t>
  </si>
  <si>
    <t>scholar-p</t>
  </si>
  <si>
    <t>scorpion-p</t>
  </si>
  <si>
    <t>scott-p</t>
  </si>
  <si>
    <t>seeq-p</t>
  </si>
  <si>
    <t>seifer-p</t>
  </si>
  <si>
    <t>selphie-p</t>
  </si>
  <si>
    <t>sephiroth-p</t>
  </si>
  <si>
    <t>serafie-p</t>
  </si>
  <si>
    <t>serah-p</t>
  </si>
  <si>
    <t>seymour-p</t>
  </si>
  <si>
    <t>shadowsmith-p</t>
  </si>
  <si>
    <t>shantotto-p</t>
  </si>
  <si>
    <t>sherlotta-p</t>
  </si>
  <si>
    <t>shopkeeper-p</t>
  </si>
  <si>
    <t>siegfried-p</t>
  </si>
  <si>
    <t>simon-p</t>
  </si>
  <si>
    <t>sion-p</t>
  </si>
  <si>
    <t>slash-p</t>
  </si>
  <si>
    <t>slime-p</t>
  </si>
  <si>
    <t>snow-p</t>
  </si>
  <si>
    <t>soeboy-p</t>
  </si>
  <si>
    <t>soepoodle-p</t>
  </si>
  <si>
    <t>soewolfdog-p</t>
  </si>
  <si>
    <t>soldier9-p</t>
  </si>
  <si>
    <t>sonic-p</t>
  </si>
  <si>
    <t>sora-p</t>
  </si>
  <si>
    <t>spawn-p</t>
  </si>
  <si>
    <t>spiderman-p</t>
  </si>
  <si>
    <t>squall-p</t>
  </si>
  <si>
    <t>squall-uniform-p</t>
  </si>
  <si>
    <t>squire-p</t>
  </si>
  <si>
    <t>stalfos-p</t>
  </si>
  <si>
    <t>starfox-p</t>
  </si>
  <si>
    <t>starwolf-p</t>
  </si>
  <si>
    <t>steiner-p</t>
  </si>
  <si>
    <t>stiltzkin-p</t>
  </si>
  <si>
    <t>strago-blackmage-p</t>
  </si>
  <si>
    <t>strago-cid-p</t>
  </si>
  <si>
    <t>strago-fusoya-p</t>
  </si>
  <si>
    <t>strago-tellah-p</t>
  </si>
  <si>
    <t>superbuu-p</t>
  </si>
  <si>
    <t>t260g-p</t>
  </si>
  <si>
    <t>tails-p</t>
  </si>
  <si>
    <t>talim-p</t>
  </si>
  <si>
    <t>teddie-p</t>
  </si>
  <si>
    <t>tellah-p</t>
  </si>
  <si>
    <t>terra-amano-p</t>
  </si>
  <si>
    <t>terra-rydia-p</t>
  </si>
  <si>
    <t>teta-p</t>
  </si>
  <si>
    <t>thief-ff1-p</t>
  </si>
  <si>
    <t>thieffft-p</t>
  </si>
  <si>
    <t>tiamat-p</t>
  </si>
  <si>
    <t>tidus-p</t>
  </si>
  <si>
    <t>tifa-cowgirl-p</t>
  </si>
  <si>
    <t>tifa-p</t>
  </si>
  <si>
    <t>tina-p</t>
  </si>
  <si>
    <t>tingle-p</t>
  </si>
  <si>
    <t>tinymoogle-p</t>
  </si>
  <si>
    <t>toadette-p</t>
  </si>
  <si>
    <t>tobi-p</t>
  </si>
  <si>
    <t>tohka-p</t>
  </si>
  <si>
    <t>tombstone-p</t>
  </si>
  <si>
    <t>tonberry-p</t>
  </si>
  <si>
    <t>tonberryking-p</t>
  </si>
  <si>
    <t>toriel-p</t>
  </si>
  <si>
    <t>trainconductor-p</t>
  </si>
  <si>
    <t>treasurechest-p</t>
  </si>
  <si>
    <t>tree-p</t>
  </si>
  <si>
    <t>turtle-p</t>
  </si>
  <si>
    <t>tyro-p</t>
  </si>
  <si>
    <t>ultros-p</t>
  </si>
  <si>
    <t>umaro-banon-p</t>
  </si>
  <si>
    <t>umaro-kimahri-p</t>
  </si>
  <si>
    <t>uni-p</t>
  </si>
  <si>
    <t>ursula-p</t>
  </si>
  <si>
    <t>vaan-p</t>
  </si>
  <si>
    <t>vader-p</t>
  </si>
  <si>
    <t>valkyrie-p</t>
  </si>
  <si>
    <t>van-p</t>
  </si>
  <si>
    <t>vanille-p</t>
  </si>
  <si>
    <t>vargas-p</t>
  </si>
  <si>
    <t>vayne-p</t>
  </si>
  <si>
    <t>vert-p</t>
  </si>
  <si>
    <t>vincent-p</t>
  </si>
  <si>
    <t>vivi-p</t>
  </si>
  <si>
    <t>vomammoth-p</t>
  </si>
  <si>
    <t>vormav-p</t>
  </si>
  <si>
    <t>vossler-p</t>
  </si>
  <si>
    <t>wakka-p</t>
  </si>
  <si>
    <t>ward-p</t>
  </si>
  <si>
    <t>warrioroflight-p</t>
  </si>
  <si>
    <t>wedge7-p</t>
  </si>
  <si>
    <t>whitemage-f-p</t>
  </si>
  <si>
    <t>whitemage-p</t>
  </si>
  <si>
    <t>wiegraf-p</t>
  </si>
  <si>
    <t>wolfdog-p</t>
  </si>
  <si>
    <t>wolverine-p</t>
  </si>
  <si>
    <t>xenomorph-p</t>
  </si>
  <si>
    <t>xezhat-p</t>
  </si>
  <si>
    <t>yang-p</t>
  </si>
  <si>
    <t>yoshi-p</t>
  </si>
  <si>
    <t>yuffie-p</t>
  </si>
  <si>
    <t>yuna-p</t>
  </si>
  <si>
    <t>yura-p</t>
  </si>
  <si>
    <t>zack-p</t>
  </si>
  <si>
    <t>zalbag-p</t>
  </si>
  <si>
    <t>zelda-p</t>
  </si>
  <si>
    <t>zell-p</t>
  </si>
  <si>
    <t>zetsu-p</t>
  </si>
  <si>
    <t>zidane-p</t>
  </si>
  <si>
    <t>zombie-p</t>
  </si>
  <si>
    <t xml:space="preserve">    149 : "Cid-DoubleDown-FF6",</t>
  </si>
  <si>
    <t>Palette Randomizer</t>
  </si>
  <si>
    <t>Palette 0</t>
  </si>
  <si>
    <t>Palette 1</t>
  </si>
  <si>
    <t>Palette 2</t>
  </si>
  <si>
    <t>Palette 3</t>
  </si>
  <si>
    <t>Palette 4</t>
  </si>
  <si>
    <t>Palette 5</t>
  </si>
  <si>
    <t>Palette 6</t>
  </si>
  <si>
    <t>Portrait Randomizer</t>
  </si>
  <si>
    <t>Terra</t>
  </si>
  <si>
    <t>Locke</t>
  </si>
  <si>
    <t>Cyan</t>
  </si>
  <si>
    <t>Shadow</t>
  </si>
  <si>
    <t>Edgar</t>
  </si>
  <si>
    <t>Sabin</t>
  </si>
  <si>
    <t>Celes</t>
  </si>
  <si>
    <t>Strago</t>
  </si>
  <si>
    <t>Relm</t>
  </si>
  <si>
    <t>Setzer</t>
  </si>
  <si>
    <t>Mog</t>
  </si>
  <si>
    <t>Gau</t>
  </si>
  <si>
    <t>Gogo</t>
  </si>
  <si>
    <t>Umaro</t>
  </si>
  <si>
    <t>Soldier</t>
  </si>
  <si>
    <t>Imp</t>
  </si>
  <si>
    <t>Esper Terra</t>
  </si>
  <si>
    <t>Merchant</t>
  </si>
  <si>
    <t>Ghost</t>
  </si>
  <si>
    <t>Kefka</t>
  </si>
  <si>
    <t>Sprite Randomizer</t>
  </si>
  <si>
    <t>Sprite Palettes</t>
  </si>
  <si>
    <t>Custom Start #</t>
  </si>
  <si>
    <t>Custom End #</t>
  </si>
  <si>
    <t>% Original</t>
  </si>
  <si>
    <t>Flagstring Build</t>
  </si>
  <si>
    <t>Original: 0 to #</t>
  </si>
  <si>
    <t>=IF(RAND()&lt;=$E$11,B29,C29)</t>
  </si>
  <si>
    <t>Special Groups</t>
  </si>
  <si>
    <t>Inanimate Objects</t>
  </si>
  <si>
    <t>113</t>
  </si>
  <si>
    <t>117</t>
  </si>
  <si>
    <t>170</t>
  </si>
  <si>
    <t>183</t>
  </si>
  <si>
    <t>200</t>
  </si>
  <si>
    <t>231</t>
  </si>
  <si>
    <t>347</t>
  </si>
  <si>
    <t>571</t>
  </si>
  <si>
    <t>576</t>
  </si>
  <si>
    <t>260</t>
  </si>
  <si>
    <t>390</t>
  </si>
  <si>
    <t>451</t>
  </si>
  <si>
    <t>375</t>
  </si>
  <si>
    <t>Attribution</t>
  </si>
  <si>
    <t>CrateWIP</t>
  </si>
  <si>
    <t>WC string</t>
  </si>
  <si>
    <t>Copy-paste static</t>
  </si>
  <si>
    <t>Combined:</t>
  </si>
  <si>
    <t>Combined Graphics Flagstring</t>
  </si>
  <si>
    <t>-cg -oa 2.2.2.2.6.6.4.9.9 -ob 3.1.1.2.9.9.4.12.12 -oc 30.8.8.1.1.11.8 -sc1 random -sc2 random -sc3 random -sal -eu -csrp 80 125 -fst -brl -slr 3 5 -lmprp 75 125 -lel -srr 20 30 -rnl -rnc -sdr 1 2 -das -dda -dns -sch -com 98989898989898989898989898 -rec1 28 -rec2 27 -rec3 29 -xpm 3 -mpm 5 -gpm 5 -nxppd -lsced 2 -hmced 2 -xgced 2 -ase 2 -msl 40 -sed -bbs -be -bnu -res -fer 0 -escr 100 -dgne -wnz -mmnu -cmd -esr 1 5 -ebr 68 -emprp 75 125 -nm1 random -rnl1 -nm2 random -rnl2 -nmmi -gp 5000 -smc 3 -ieor 33 -ieror 33 -csb 3 14 -mca -stra -saw -sisr 20 -sprp 75 125 -sdm 4 -npi -snbr -ccsr 20 -cms -cor -crr -crvr 50 60 -crm -ari -anca -adeh -nmc -nu -nfps -fs -fe -fvd -fj -fbs -fedc -as -ond -rr -etn</t>
  </si>
  <si>
    <t>=IF(RAND()&lt;=$E$11,B26,C26)</t>
  </si>
  <si>
    <t>-cpal 100.64.23.6.74.120.122 -cpor 113.113.113.113.113.113.113.113.113.113.113.113.113.113.610 -cspr 162.162.162.162.162.162.162.162.162.162.162.162.162.162.162.162.162.162.162.162 -cspp 4.0.2.5.2.5.0.3.1.2.0.3.0.5.0.4.1.1.1.2</t>
  </si>
  <si>
    <t xml:space="preserve">150 : "CrateWIP", </t>
  </si>
  <si>
    <t>already 20</t>
  </si>
  <si>
    <t>already 21</t>
  </si>
  <si>
    <t>same as 22</t>
  </si>
  <si>
    <t>already 142</t>
  </si>
  <si>
    <t>already 23</t>
  </si>
  <si>
    <t>44 scorpion, 61 sub zero</t>
  </si>
  <si>
    <t>Palette Options</t>
  </si>
  <si>
    <t>Sprite ID</t>
  </si>
  <si>
    <t>Sprite Name</t>
  </si>
  <si>
    <t>Palette Options IDs</t>
  </si>
  <si>
    <t>Edea-CtrlxZ-FF8</t>
  </si>
  <si>
    <t>Kelgar-CtrlxZ-FF5</t>
  </si>
  <si>
    <t>Chancellor-Zozma-FF6</t>
  </si>
  <si>
    <t>Aerith-HoxNorf-FF7</t>
  </si>
  <si>
    <t>Cloud-HoxNorf-FF7</t>
  </si>
  <si>
    <t>Shantotto-HoxNorf-FF11</t>
  </si>
  <si>
    <t>Reimu-HoxNorf-Touhou</t>
  </si>
  <si>
    <t>Sephiroth-CtrlxZ-FF7</t>
  </si>
  <si>
    <t>Original 0</t>
  </si>
  <si>
    <t>Original 1</t>
  </si>
  <si>
    <t>Original 2</t>
  </si>
  <si>
    <t>Original 3</t>
  </si>
  <si>
    <t>Original 4</t>
  </si>
  <si>
    <t>Original 5</t>
  </si>
  <si>
    <t>Original 6</t>
  </si>
  <si>
    <t>Bomb-JamesWhite89-FF6</t>
  </si>
  <si>
    <t>Ninja-CtrlxZ-FF5</t>
  </si>
  <si>
    <t>Quistis-FEOK-FF8</t>
  </si>
  <si>
    <t>Edward-Zozma-FF4</t>
  </si>
  <si>
    <t>Exdeath-CtrlxZ-FF5</t>
  </si>
  <si>
    <t>Jessie-HoxNorf-FF7</t>
  </si>
  <si>
    <t>Yang-SApprentice-FF4</t>
  </si>
  <si>
    <t>Cid-HoxNorf-FF4</t>
  </si>
  <si>
    <t>Banjo Kazooie-HoxNorf-BK</t>
  </si>
  <si>
    <t>Ram-HoxNorf-Neptunia</t>
  </si>
  <si>
    <t>Samurai-CtrlxZ-FF5</t>
  </si>
  <si>
    <t>Lenna (White Mage)-HoxNorf-FF5</t>
  </si>
  <si>
    <t>Chen-HoxNorf-Touhou</t>
  </si>
  <si>
    <t>Cirno-HoxNorf-Touhou</t>
  </si>
  <si>
    <t>Tiny Moogle-Rjenyawd-FF</t>
  </si>
  <si>
    <t>Toadette-HoxNorf-Mario</t>
  </si>
  <si>
    <t>Palom-HoxNorf-FF4</t>
  </si>
  <si>
    <t>Frog-Badass-CT</t>
  </si>
  <si>
    <t>Faris (Summoner)-FEOK-FF5</t>
  </si>
  <si>
    <t>Sarisa-HoxNorf-FF5</t>
  </si>
  <si>
    <t>Crono-Badass-CT</t>
  </si>
  <si>
    <t>Bubble Dragon-Badass-BB</t>
  </si>
  <si>
    <t>Talim-HoxNorf-SC4</t>
  </si>
  <si>
    <t>Bird-JamesWhite89-FF6</t>
  </si>
  <si>
    <t>Kain-SpoonyBard-FFRK</t>
  </si>
  <si>
    <t>Schala-HoxNorf-CT</t>
  </si>
  <si>
    <t>Vivi-PocoLoco-FF9</t>
  </si>
  <si>
    <t>Relm (Amano)-HoxNorf-FF6</t>
  </si>
  <si>
    <t>Mini-JamesWhite89-FF</t>
  </si>
  <si>
    <t>Ayla-CrumpledMedal-CT</t>
  </si>
  <si>
    <t>Bartz-HoxNorf-FF5</t>
  </si>
  <si>
    <t>Krile-HoxNorf-FF5</t>
  </si>
  <si>
    <t>Iris-HoxNorf-FF15</t>
  </si>
  <si>
    <t>Zack-CtrlxZ-FF7</t>
  </si>
  <si>
    <t>Garnet-HoxNorf-FF9</t>
  </si>
  <si>
    <t>Eiko-PocoLoco-FF9</t>
  </si>
  <si>
    <t>Barret-CtrlxZ-FF7</t>
  </si>
  <si>
    <t>Rydia (Child)-HoxNorf-FF4</t>
  </si>
  <si>
    <t>Devout-HoxNorf-FF</t>
  </si>
  <si>
    <t>Berserker-Badass-FF5</t>
  </si>
  <si>
    <t>Terra (Amano Blond Cape)-JCollins-FF6</t>
  </si>
  <si>
    <t>Boco-JamesWhite89-FF5</t>
  </si>
  <si>
    <t>Selphie-HoxNorf-FF8</t>
  </si>
  <si>
    <t>Edge-PocoLoco-FF4</t>
  </si>
  <si>
    <t>Sora-HoxNorf-KH</t>
  </si>
  <si>
    <t>Vanille-FEOK-FF13</t>
  </si>
  <si>
    <t>Marisa-HoxNorf-Touhou</t>
  </si>
  <si>
    <t>Emperor-HoxNorf-FF2</t>
  </si>
  <si>
    <t>Rydia-HoxNorf-FF4</t>
  </si>
  <si>
    <t>Elarra-HoxNorf-FFRK</t>
  </si>
  <si>
    <t>Reno-CtrlxZ-FF7</t>
  </si>
  <si>
    <t>Lenna-HoxNorf-FF5</t>
  </si>
  <si>
    <t>Rosa-PocoLoco-FF4</t>
  </si>
  <si>
    <t>Yuffie-HoxNorf-FF7</t>
  </si>
  <si>
    <t>Faris-HoxNorf-FF5</t>
  </si>
  <si>
    <t>Tonberry-JamesWhite89-FF</t>
  </si>
  <si>
    <t>Ryu (Dragon)-Badass-BOF</t>
  </si>
  <si>
    <t>Galuf-HoxNorf-FF5</t>
  </si>
  <si>
    <t>Tellah-FEOK-FF4</t>
  </si>
  <si>
    <t>Golbez-FEOK-FF4</t>
  </si>
  <si>
    <t>Gau (Suit)-Zozma-FF6</t>
  </si>
  <si>
    <t>Terra-MetroidQuest-EC</t>
  </si>
  <si>
    <t>Zidane-HoxNorf-FF9</t>
  </si>
  <si>
    <t>Steiner-FEOK-FF9</t>
  </si>
  <si>
    <t>King Baron-JamesWhite89-FF4</t>
  </si>
  <si>
    <t>Laguna-PocoLoco-FF8</t>
  </si>
  <si>
    <t>FuSoYa-FEOK-FF4</t>
  </si>
  <si>
    <t>Mystic Knight-CtrlxZ-FF5</t>
  </si>
  <si>
    <t>Neptune-HoxNorf-Neptunia</t>
  </si>
  <si>
    <t>Impressario-LoneRedMage-FF6</t>
  </si>
  <si>
    <t>Lightning-FEOK-FF13</t>
  </si>
  <si>
    <t>Freya-HoxNorf-FF9</t>
  </si>
  <si>
    <t>Onion Knight-FEOK-FF3</t>
  </si>
  <si>
    <t>Iffy-HoxNorf-Neptunia</t>
  </si>
  <si>
    <t>Baram-PocoLoco-FF6</t>
  </si>
  <si>
    <t>Katarin-Zozma-FF6</t>
  </si>
  <si>
    <t>Uni-HoxNorf-Neptunia</t>
  </si>
  <si>
    <t>=VLOOKUP(C2,$M$9:$P$138,4,FALSE)</t>
  </si>
  <si>
    <t>FF6</t>
  </si>
  <si>
    <t>FF7</t>
  </si>
  <si>
    <t>https://www.ff6hacking.com/forums/thread-4057.html</t>
  </si>
  <si>
    <t>Completed?</t>
  </si>
  <si>
    <t>x</t>
  </si>
  <si>
    <t>Game?</t>
  </si>
  <si>
    <t>hojo:</t>
  </si>
  <si>
    <t>port: 621</t>
  </si>
  <si>
    <t>pal: 151</t>
  </si>
  <si>
    <t>sprite: 743</t>
  </si>
  <si>
    <t>testing:</t>
  </si>
  <si>
    <t>FF4</t>
  </si>
  <si>
    <t>FF9</t>
  </si>
  <si>
    <t>Bahamut Lagoon</t>
  </si>
  <si>
    <t>Street Fighter 2</t>
  </si>
  <si>
    <t>Link to the Past</t>
  </si>
  <si>
    <t>FF8</t>
  </si>
  <si>
    <t>FF1</t>
  </si>
  <si>
    <t>Sonic</t>
  </si>
  <si>
    <t>Chrono Trigger</t>
  </si>
  <si>
    <t>Mario</t>
  </si>
  <si>
    <t>Lufia</t>
  </si>
  <si>
    <t>SpriteName - Game</t>
  </si>
  <si>
    <t>sprite DB</t>
  </si>
  <si>
    <t>Sprite Source?</t>
  </si>
  <si>
    <t>Portrait Source?</t>
  </si>
  <si>
    <t>none</t>
  </si>
  <si>
    <t>BC</t>
  </si>
  <si>
    <t>Palette Source?</t>
  </si>
  <si>
    <t>missing sp palette</t>
  </si>
  <si>
    <t>???</t>
  </si>
  <si>
    <t>no credits, missing sp palette</t>
  </si>
  <si>
    <t>? credits, missing sp palette</t>
  </si>
  <si>
    <t>? Credits</t>
  </si>
  <si>
    <t>Hoxnorf</t>
  </si>
  <si>
    <t>? sprite credits</t>
  </si>
  <si>
    <t>Antlion-Astaroth-FF4</t>
  </si>
  <si>
    <t>Arvis-PocoLoco-FF6</t>
  </si>
  <si>
    <t>Atma-Astaroth-FF6</t>
  </si>
  <si>
    <t>Beatrix-PocoLoco-FF9</t>
  </si>
  <si>
    <t>Boy-Zozma-FF6</t>
  </si>
  <si>
    <t>Cagnazzo-Astaroth-FF4</t>
  </si>
  <si>
    <t>Celes (Amano)-Astaroth-FF6</t>
  </si>
  <si>
    <t>Celes (Opera)-Astaroth-FF6</t>
  </si>
  <si>
    <t>Clyde-PocoLoco-FF6</t>
  </si>
  <si>
    <t>Cultist-PocoLoco-FF6</t>
  </si>
  <si>
    <t>Dancer-PocoLoco-FF6</t>
  </si>
  <si>
    <t>Dark Elf-Astaroth-FF4</t>
  </si>
  <si>
    <t>Draco-PocoLoco-FF6</t>
  </si>
  <si>
    <t>Elena-Astaroth-FF7</t>
  </si>
  <si>
    <t>Figaro Guard-PocoLoco-FF6</t>
  </si>
  <si>
    <t>Granny-Zozma-FF6</t>
  </si>
  <si>
    <t>Hojo-LoneRedMage-FF7</t>
  </si>
  <si>
    <t>Lady-Zozma-FF6</t>
  </si>
  <si>
    <t>Link-FEOK-LegendOfZelda</t>
  </si>
  <si>
    <t>LoneWolf-PocoLoco-FF6</t>
  </si>
  <si>
    <t>Lucca-FEOK-CT</t>
  </si>
  <si>
    <t>Lufia-JamesWhite89-Lufia</t>
  </si>
  <si>
    <t>Luigi-Badass-Mario</t>
  </si>
  <si>
    <t>Maduin-PocoLoco-FF6</t>
  </si>
  <si>
    <t>Mario-Badass-Mario</t>
  </si>
  <si>
    <t>NarsheGuard-PocoLoco-FF6</t>
  </si>
  <si>
    <t>Peach-Halkel-SMRPG</t>
  </si>
  <si>
    <t>Returner-PocoLoco-FF6</t>
  </si>
  <si>
    <t>Rubicante-Astaroth-FF4</t>
  </si>
  <si>
    <t>Scholar-PocoLoco-FF6</t>
  </si>
  <si>
    <t>Seifer-Filipinac-FF8</t>
  </si>
  <si>
    <t>Siegfried-PocoLoco-FF6</t>
  </si>
  <si>
    <t>Slash-Badass-CT</t>
  </si>
  <si>
    <t>Sonic-Badass-Sonic</t>
  </si>
  <si>
    <t>Squall (Uniform)-SApprentice-FF8</t>
  </si>
  <si>
    <t>Squall-PocoLoco-FF8</t>
  </si>
  <si>
    <t>Tifa-Astaroth-FF7</t>
  </si>
  <si>
    <t>Train Conductor-Zozma-FF6</t>
  </si>
  <si>
    <t>Vargas-PocoLoco-FF6</t>
  </si>
  <si>
    <t>Vincent-FEOK-FF7</t>
  </si>
  <si>
    <t>Yoshi-Badass-Mario</t>
  </si>
  <si>
    <t>Arvis-JamesWhite89-FF6</t>
  </si>
  <si>
    <t>Beatrix-Xeblon-FF9</t>
  </si>
  <si>
    <t>Celes (Opera)-Astaroth_Zozma-FF6</t>
  </si>
  <si>
    <t>Dancer-PocoLoco_sutebenukun-FF6</t>
  </si>
  <si>
    <t>Figaro Guard-JamesWhite89-FF6</t>
  </si>
  <si>
    <t>Hojo-JamesWhite89-FF7</t>
  </si>
  <si>
    <t>Link-Bluzhu-LTTP</t>
  </si>
  <si>
    <t>Link-JamesWhite89-LegendOfZelda</t>
  </si>
  <si>
    <t>LoneWolf-JamesWhite89-FF6</t>
  </si>
  <si>
    <t>Lufia-VRNocturne-Lufia</t>
  </si>
  <si>
    <t>Luigi-Halkel-Mario</t>
  </si>
  <si>
    <t>Mario-Halkel-Mario</t>
  </si>
  <si>
    <t>Returner-JamesWhite89-FF6</t>
  </si>
  <si>
    <t>Rubicante-CtrlxZ-FF4</t>
  </si>
  <si>
    <t>Seifer-xeblon-FF8</t>
  </si>
  <si>
    <t>Squall-JamesWhite89-FF8</t>
  </si>
  <si>
    <t>Tifa-JamesWhite89-FF7</t>
  </si>
  <si>
    <t>Train Conductor-Mascot1063-FF6</t>
  </si>
  <si>
    <t>Vincent-Twinees-FF7</t>
  </si>
  <si>
    <t xml:space="preserve">-cpal 151.152.153.154.0.0.0 </t>
  </si>
  <si>
    <t xml:space="preserve">-open -sl -oa 2.2.2.2.7.7.4.10.10 -ob 30.8.8.1.1.11.8 -sc1 terra -sc2 locke -sc3 cyan -sc4 shadow -sal -fst -slr 5 8 -lmprp 75 125 -lel -srr 15 30 -rnl -sdr 1 1 -dda -dns -rec1 28 -rec2 23 -xpm 4 -mpm 5 -gpm 5 -nxppd -lsa 1 -hma 1 -xga 1 -msl 40 -sed -sfb -be -escr 100 -dgne -wnz -mmnu -cmd -esr 1 5 -ebr 100 -emprp 75 125 -ems -nm1 random -rnl1 -rns1 -nm2 random -rnl2 -rns2 -nmmi -gp 5000 -smc 3 -sfd 3 -sto 1 -ieor 33 -ierr 14 14 -csb 1 16 -mca -stra -saw -sisr 100 -sdm 5 -npi -ccsr 100 -cor -crr -crvr 75 128 -crm -ari -anca -adeh -nmc -nfce -fs -fe -fvd -fr -fj -fbs -fedc -as -ond -rr </t>
  </si>
  <si>
    <t xml:space="preserve">-cpor 621.622.623.624.0.0.0.0.0.0.0.0.0.0.0 </t>
  </si>
  <si>
    <t xml:space="preserve">-cspr 743.744.745.746.0.0.0.0.0.0.0.0.0.0.0.0.0.0.0.0 </t>
  </si>
  <si>
    <t xml:space="preserve">-cspp 0.1.2.3.0.0.0.0.0.0.0.0.0.0.0.0.0.0.0.0 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</si>
</sst>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/>
    <xf numFmtId="0" fontId="0" fillId="0" borderId="0" xfId="0" quotePrefix="1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3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ff6hacking.com/forums/thread-4057.html" TargetMode="External"/><Relationship Id="rId1" Type="http://schemas.openxmlformats.org/officeDocument/2006/relationships/hyperlink" Target="https://www.ff6hacking.com/forums/thread-4057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782"/>
  <sheetViews>
    <sheetView workbookViewId="0">
      <pane xSplit="1" ySplit="1" topLeftCell="H144" activePane="bottomRight" state="frozen"/>
      <selection pane="topRight" activeCell="B1" sqref="B1"/>
      <selection pane="bottomLeft" activeCell="A2" sqref="A2"/>
      <selection pane="bottomRight" activeCell="M145" sqref="M145:M185"/>
    </sheetView>
  </sheetViews>
  <sheetFormatPr defaultRowHeight="15"/>
  <cols>
    <col min="1" max="1" width="44.85546875" bestFit="1" customWidth="1"/>
    <col min="2" max="2" width="20.140625" bestFit="1" customWidth="1"/>
    <col min="3" max="3" width="21" bestFit="1" customWidth="1"/>
    <col min="4" max="6" width="21" customWidth="1"/>
    <col min="7" max="7" width="41.7109375" bestFit="1" customWidth="1"/>
    <col min="9" max="9" width="37.140625" bestFit="1" customWidth="1"/>
    <col min="10" max="10" width="44.85546875" bestFit="1" customWidth="1"/>
    <col min="12" max="12" width="19.85546875" bestFit="1" customWidth="1"/>
    <col min="14" max="14" width="16.7109375" bestFit="1" customWidth="1"/>
  </cols>
  <sheetData>
    <row r="1" spans="1:17">
      <c r="A1" s="2" t="s">
        <v>0</v>
      </c>
      <c r="B1">
        <f>MAX(C5:C740)</f>
        <v>742</v>
      </c>
      <c r="G1" s="2" t="s">
        <v>157</v>
      </c>
      <c r="H1">
        <f>MAX(G112:G619)</f>
        <v>620</v>
      </c>
      <c r="J1" s="2" t="s">
        <v>400</v>
      </c>
      <c r="K1">
        <f>MAX(K13:K142)</f>
        <v>149</v>
      </c>
      <c r="N1" s="2" t="s">
        <v>1530</v>
      </c>
    </row>
    <row r="2" spans="1:17">
      <c r="A2" t="s">
        <v>1</v>
      </c>
      <c r="B2" t="s">
        <v>983</v>
      </c>
      <c r="G2" t="s">
        <v>158</v>
      </c>
      <c r="H2" t="s">
        <v>402</v>
      </c>
      <c r="J2" t="s">
        <v>262</v>
      </c>
      <c r="N2" s="4" t="s">
        <v>1531</v>
      </c>
    </row>
    <row r="3" spans="1:17">
      <c r="O3" t="s">
        <v>0</v>
      </c>
      <c r="P3" t="s">
        <v>157</v>
      </c>
      <c r="Q3" t="s">
        <v>1545</v>
      </c>
    </row>
    <row r="4" spans="1:17">
      <c r="A4" t="s">
        <v>2</v>
      </c>
      <c r="G4" t="s">
        <v>159</v>
      </c>
      <c r="J4" t="s">
        <v>263</v>
      </c>
      <c r="N4" t="s">
        <v>403</v>
      </c>
      <c r="O4">
        <f>VLOOKUP(N4,$D$159:$F$740,3,FALSE)</f>
        <v>162</v>
      </c>
      <c r="P4" t="s">
        <v>1532</v>
      </c>
    </row>
    <row r="5" spans="1:17">
      <c r="A5" t="s">
        <v>3</v>
      </c>
      <c r="C5" t="str">
        <f>MID(A5,1,FIND(":",A5,1)-1)</f>
        <v xml:space="preserve">    0   </v>
      </c>
      <c r="D5" t="str">
        <f>MID(A5,FIND(":",A5,1)+3,LEN(A5)-FIND(":",A5,1)-4)</f>
        <v>Terra</v>
      </c>
      <c r="G5" t="s">
        <v>160</v>
      </c>
      <c r="J5" t="s">
        <v>264</v>
      </c>
      <c r="N5" t="s">
        <v>409</v>
      </c>
      <c r="O5">
        <f t="shared" ref="O5:O17" si="0">VLOOKUP(N5,$D$159:$F$740,3,FALSE)</f>
        <v>168</v>
      </c>
      <c r="P5" t="s">
        <v>1533</v>
      </c>
    </row>
    <row r="6" spans="1:17">
      <c r="A6" t="s">
        <v>4</v>
      </c>
      <c r="C6" t="str">
        <f t="shared" ref="C6:C26" si="1">MID(A6,1,FIND(":",A6,1)-1)</f>
        <v xml:space="preserve">    1   </v>
      </c>
      <c r="D6" t="str">
        <f t="shared" ref="D6:D26" si="2">MID(A6,FIND(":",A6,1)+3,LEN(A6)-FIND(":",A6,1)-4)</f>
        <v>Locke</v>
      </c>
      <c r="G6" t="s">
        <v>161</v>
      </c>
      <c r="J6" t="s">
        <v>265</v>
      </c>
      <c r="N6" t="s">
        <v>470</v>
      </c>
      <c r="O6">
        <f t="shared" si="0"/>
        <v>229</v>
      </c>
      <c r="P6" t="s">
        <v>1534</v>
      </c>
    </row>
    <row r="7" spans="1:17">
      <c r="A7" t="s">
        <v>5</v>
      </c>
      <c r="C7" t="str">
        <f t="shared" si="1"/>
        <v xml:space="preserve">    2   </v>
      </c>
      <c r="D7" t="str">
        <f t="shared" si="2"/>
        <v>Cyan</v>
      </c>
      <c r="G7" t="s">
        <v>162</v>
      </c>
      <c r="J7" t="s">
        <v>266</v>
      </c>
      <c r="N7" t="s">
        <v>485</v>
      </c>
      <c r="O7">
        <f t="shared" si="0"/>
        <v>244</v>
      </c>
      <c r="P7" t="s">
        <v>1535</v>
      </c>
    </row>
    <row r="8" spans="1:17">
      <c r="A8" t="s">
        <v>6</v>
      </c>
      <c r="C8" t="str">
        <f t="shared" si="1"/>
        <v xml:space="preserve">    3   </v>
      </c>
      <c r="D8" t="str">
        <f t="shared" si="2"/>
        <v>Shadow</v>
      </c>
      <c r="G8" t="s">
        <v>163</v>
      </c>
      <c r="J8" t="s">
        <v>267</v>
      </c>
      <c r="N8" t="s">
        <v>501</v>
      </c>
      <c r="O8">
        <f t="shared" si="0"/>
        <v>260</v>
      </c>
      <c r="P8" t="s">
        <v>1536</v>
      </c>
    </row>
    <row r="9" spans="1:17">
      <c r="A9" t="s">
        <v>7</v>
      </c>
      <c r="C9" t="str">
        <f t="shared" si="1"/>
        <v xml:space="preserve">    4   </v>
      </c>
      <c r="D9" t="str">
        <f t="shared" si="2"/>
        <v>Edgar</v>
      </c>
      <c r="G9" t="s">
        <v>164</v>
      </c>
      <c r="J9" t="s">
        <v>268</v>
      </c>
      <c r="N9" t="s">
        <v>536</v>
      </c>
      <c r="O9">
        <f t="shared" si="0"/>
        <v>296</v>
      </c>
      <c r="P9" t="s">
        <v>1537</v>
      </c>
    </row>
    <row r="10" spans="1:17">
      <c r="A10" t="s">
        <v>8</v>
      </c>
      <c r="C10" t="str">
        <f t="shared" si="1"/>
        <v xml:space="preserve">    5   </v>
      </c>
      <c r="D10" t="str">
        <f t="shared" si="2"/>
        <v>Sabin</v>
      </c>
      <c r="G10" t="s">
        <v>165</v>
      </c>
      <c r="J10" t="s">
        <v>269</v>
      </c>
      <c r="N10" t="s">
        <v>663</v>
      </c>
      <c r="O10">
        <f t="shared" si="0"/>
        <v>423</v>
      </c>
      <c r="P10" t="s">
        <v>1538</v>
      </c>
    </row>
    <row r="11" spans="1:17">
      <c r="A11" t="s">
        <v>9</v>
      </c>
      <c r="C11" t="str">
        <f t="shared" si="1"/>
        <v xml:space="preserve">    6   </v>
      </c>
      <c r="D11" t="str">
        <f t="shared" si="2"/>
        <v>Celes</v>
      </c>
      <c r="G11" t="s">
        <v>166</v>
      </c>
      <c r="J11" t="s">
        <v>270</v>
      </c>
      <c r="N11" t="s">
        <v>931</v>
      </c>
      <c r="O11">
        <f t="shared" si="0"/>
        <v>691</v>
      </c>
      <c r="P11" t="s">
        <v>1539</v>
      </c>
    </row>
    <row r="12" spans="1:17">
      <c r="A12" t="s">
        <v>10</v>
      </c>
      <c r="C12" t="str">
        <f t="shared" si="1"/>
        <v xml:space="preserve">    7   </v>
      </c>
      <c r="D12" t="str">
        <f t="shared" si="2"/>
        <v>Strago</v>
      </c>
      <c r="G12" t="s">
        <v>167</v>
      </c>
      <c r="N12" t="s">
        <v>936</v>
      </c>
      <c r="O12">
        <f t="shared" si="0"/>
        <v>696</v>
      </c>
      <c r="P12" t="s">
        <v>1540</v>
      </c>
    </row>
    <row r="13" spans="1:17">
      <c r="A13" t="s">
        <v>11</v>
      </c>
      <c r="C13" t="str">
        <f t="shared" si="1"/>
        <v xml:space="preserve">    8   </v>
      </c>
      <c r="D13" t="str">
        <f t="shared" si="2"/>
        <v>Relm</v>
      </c>
      <c r="G13" t="s">
        <v>168</v>
      </c>
      <c r="J13" t="s">
        <v>271</v>
      </c>
      <c r="K13">
        <v>20</v>
      </c>
      <c r="N13" t="s">
        <v>566</v>
      </c>
      <c r="O13">
        <f t="shared" si="0"/>
        <v>326</v>
      </c>
      <c r="P13" t="s">
        <v>1541</v>
      </c>
    </row>
    <row r="14" spans="1:17">
      <c r="A14" t="s">
        <v>12</v>
      </c>
      <c r="C14" t="str">
        <f t="shared" si="1"/>
        <v xml:space="preserve">    9   </v>
      </c>
      <c r="D14" t="str">
        <f t="shared" si="2"/>
        <v>Setzer</v>
      </c>
      <c r="G14" t="s">
        <v>169</v>
      </c>
      <c r="J14" t="s">
        <v>272</v>
      </c>
      <c r="K14">
        <v>21</v>
      </c>
      <c r="N14" t="s">
        <v>711</v>
      </c>
      <c r="O14">
        <f t="shared" si="0"/>
        <v>471</v>
      </c>
      <c r="P14" t="s">
        <v>1542</v>
      </c>
    </row>
    <row r="15" spans="1:17">
      <c r="A15" t="s">
        <v>13</v>
      </c>
      <c r="C15" t="str">
        <f t="shared" si="1"/>
        <v xml:space="preserve">    10  </v>
      </c>
      <c r="D15" t="str">
        <f t="shared" si="2"/>
        <v>Mog</v>
      </c>
      <c r="G15" t="s">
        <v>170</v>
      </c>
      <c r="J15" t="s">
        <v>273</v>
      </c>
      <c r="K15">
        <v>22</v>
      </c>
      <c r="N15" t="s">
        <v>796</v>
      </c>
      <c r="O15">
        <f t="shared" si="0"/>
        <v>556</v>
      </c>
      <c r="P15" t="s">
        <v>1543</v>
      </c>
    </row>
    <row r="16" spans="1:17">
      <c r="A16" t="s">
        <v>14</v>
      </c>
      <c r="C16" t="str">
        <f t="shared" si="1"/>
        <v xml:space="preserve">    11  </v>
      </c>
      <c r="D16" t="str">
        <f t="shared" si="2"/>
        <v>Gau</v>
      </c>
      <c r="G16" t="s">
        <v>171</v>
      </c>
      <c r="J16" t="s">
        <v>274</v>
      </c>
      <c r="K16">
        <v>23</v>
      </c>
      <c r="N16" t="s">
        <v>695</v>
      </c>
      <c r="O16">
        <f t="shared" si="0"/>
        <v>455</v>
      </c>
      <c r="P16" t="s">
        <v>1544</v>
      </c>
    </row>
    <row r="17" spans="1:16">
      <c r="A17" t="s">
        <v>15</v>
      </c>
      <c r="C17" t="str">
        <f t="shared" si="1"/>
        <v xml:space="preserve">    12  </v>
      </c>
      <c r="D17" t="str">
        <f t="shared" si="2"/>
        <v>Gogo</v>
      </c>
      <c r="G17" t="s">
        <v>172</v>
      </c>
      <c r="J17" t="s">
        <v>275</v>
      </c>
      <c r="K17">
        <v>24</v>
      </c>
      <c r="N17" t="s">
        <v>1546</v>
      </c>
      <c r="O17">
        <f t="shared" si="0"/>
        <v>266</v>
      </c>
      <c r="P17">
        <v>353</v>
      </c>
    </row>
    <row r="18" spans="1:16">
      <c r="A18" t="s">
        <v>16</v>
      </c>
      <c r="C18" t="str">
        <f t="shared" si="1"/>
        <v xml:space="preserve">    13  </v>
      </c>
      <c r="D18" t="str">
        <f t="shared" si="2"/>
        <v>Umaro</v>
      </c>
      <c r="G18" t="s">
        <v>173</v>
      </c>
      <c r="J18" t="s">
        <v>276</v>
      </c>
      <c r="K18">
        <v>25</v>
      </c>
    </row>
    <row r="19" spans="1:16">
      <c r="A19" t="s">
        <v>17</v>
      </c>
      <c r="C19" t="str">
        <f t="shared" si="1"/>
        <v xml:space="preserve">    14  </v>
      </c>
      <c r="D19" t="str">
        <f t="shared" si="2"/>
        <v>Soldier</v>
      </c>
      <c r="G19" t="s">
        <v>174</v>
      </c>
      <c r="J19" t="s">
        <v>277</v>
      </c>
      <c r="K19">
        <v>26</v>
      </c>
    </row>
    <row r="20" spans="1:16">
      <c r="A20" t="s">
        <v>18</v>
      </c>
      <c r="C20" t="str">
        <f t="shared" si="1"/>
        <v xml:space="preserve">    15  </v>
      </c>
      <c r="D20" t="str">
        <f t="shared" si="2"/>
        <v>Imp</v>
      </c>
      <c r="G20" t="s">
        <v>175</v>
      </c>
      <c r="J20" t="s">
        <v>278</v>
      </c>
      <c r="K20">
        <v>27</v>
      </c>
    </row>
    <row r="21" spans="1:16">
      <c r="A21" t="s">
        <v>19</v>
      </c>
      <c r="C21" t="str">
        <f t="shared" si="1"/>
        <v xml:space="preserve">    16  </v>
      </c>
      <c r="D21" t="str">
        <f t="shared" si="2"/>
        <v>General Leo</v>
      </c>
      <c r="G21" t="s">
        <v>176</v>
      </c>
      <c r="J21" t="s">
        <v>279</v>
      </c>
      <c r="K21">
        <v>28</v>
      </c>
    </row>
    <row r="22" spans="1:16">
      <c r="A22" t="s">
        <v>20</v>
      </c>
      <c r="C22" t="str">
        <f t="shared" si="1"/>
        <v xml:space="preserve">    17  </v>
      </c>
      <c r="D22" t="str">
        <f t="shared" si="2"/>
        <v>Banon-Duncan</v>
      </c>
      <c r="G22" t="s">
        <v>177</v>
      </c>
      <c r="J22" t="s">
        <v>280</v>
      </c>
      <c r="K22">
        <v>29</v>
      </c>
    </row>
    <row r="23" spans="1:16">
      <c r="A23" t="s">
        <v>21</v>
      </c>
      <c r="C23" t="str">
        <f t="shared" si="1"/>
        <v xml:space="preserve">    18  </v>
      </c>
      <c r="D23" t="str">
        <f t="shared" si="2"/>
        <v>Esper Terra</v>
      </c>
      <c r="G23" t="s">
        <v>178</v>
      </c>
      <c r="J23" t="s">
        <v>281</v>
      </c>
      <c r="K23">
        <v>30</v>
      </c>
    </row>
    <row r="24" spans="1:16">
      <c r="A24" t="s">
        <v>22</v>
      </c>
      <c r="C24" t="str">
        <f t="shared" si="1"/>
        <v xml:space="preserve">    19  </v>
      </c>
      <c r="D24" t="str">
        <f t="shared" si="2"/>
        <v>Merchant</v>
      </c>
      <c r="J24" t="s">
        <v>282</v>
      </c>
      <c r="K24">
        <v>31</v>
      </c>
    </row>
    <row r="25" spans="1:16">
      <c r="A25" t="s">
        <v>23</v>
      </c>
      <c r="C25" t="str">
        <f t="shared" si="1"/>
        <v xml:space="preserve">    20  </v>
      </c>
      <c r="D25" t="str">
        <f t="shared" si="2"/>
        <v>Ghost</v>
      </c>
      <c r="G25" t="s">
        <v>179</v>
      </c>
      <c r="J25" t="s">
        <v>283</v>
      </c>
      <c r="K25">
        <v>32</v>
      </c>
    </row>
    <row r="26" spans="1:16">
      <c r="A26" t="s">
        <v>24</v>
      </c>
      <c r="C26" t="str">
        <f t="shared" si="1"/>
        <v xml:space="preserve">    21  </v>
      </c>
      <c r="D26" t="str">
        <f t="shared" si="2"/>
        <v>Kefka</v>
      </c>
      <c r="G26" t="s">
        <v>180</v>
      </c>
      <c r="J26" t="s">
        <v>284</v>
      </c>
      <c r="K26">
        <v>33</v>
      </c>
    </row>
    <row r="27" spans="1:16">
      <c r="G27" t="s">
        <v>181</v>
      </c>
      <c r="J27" t="s">
        <v>285</v>
      </c>
      <c r="K27">
        <v>34</v>
      </c>
    </row>
    <row r="28" spans="1:16">
      <c r="A28" t="s">
        <v>25</v>
      </c>
      <c r="C28" t="str">
        <f>MID(A28,1,FIND(":",A28,1)-1)</f>
        <v xml:space="preserve">    30  </v>
      </c>
      <c r="D28" t="str">
        <f t="shared" ref="D28:D91" si="3">MID(A28,FIND(":",A28,1)+3,LEN(A28)-FIND(":",A28,1)-4)</f>
        <v>Aerith-HoxNorf-FF7</v>
      </c>
      <c r="G28" t="s">
        <v>182</v>
      </c>
      <c r="J28" t="s">
        <v>286</v>
      </c>
      <c r="K28">
        <v>35</v>
      </c>
    </row>
    <row r="29" spans="1:16">
      <c r="A29" t="s">
        <v>26</v>
      </c>
      <c r="C29" t="str">
        <f t="shared" ref="C29:C92" si="4">MID(A29,1,FIND(":",A29,1)-1)</f>
        <v xml:space="preserve">    31  </v>
      </c>
      <c r="D29" t="str">
        <f t="shared" si="3"/>
        <v>Ayla-CrumpledMedal-CT</v>
      </c>
      <c r="G29" t="s">
        <v>183</v>
      </c>
      <c r="J29" t="s">
        <v>287</v>
      </c>
      <c r="K29">
        <v>36</v>
      </c>
    </row>
    <row r="30" spans="1:16">
      <c r="A30" t="s">
        <v>27</v>
      </c>
      <c r="C30" t="str">
        <f t="shared" si="4"/>
        <v xml:space="preserve">    32  </v>
      </c>
      <c r="D30" t="str">
        <f t="shared" si="3"/>
        <v>Baram-PocoLoco-FF6</v>
      </c>
      <c r="G30" t="s">
        <v>184</v>
      </c>
      <c r="J30" t="s">
        <v>288</v>
      </c>
      <c r="K30">
        <v>37</v>
      </c>
    </row>
    <row r="31" spans="1:16">
      <c r="A31" t="s">
        <v>28</v>
      </c>
      <c r="C31" t="str">
        <f t="shared" si="4"/>
        <v xml:space="preserve">    33  </v>
      </c>
      <c r="D31" t="str">
        <f t="shared" si="3"/>
        <v>Barret-CtrlxZ-FF7</v>
      </c>
      <c r="G31" t="s">
        <v>185</v>
      </c>
      <c r="J31" t="s">
        <v>289</v>
      </c>
      <c r="K31">
        <v>38</v>
      </c>
    </row>
    <row r="32" spans="1:16">
      <c r="A32" t="s">
        <v>29</v>
      </c>
      <c r="C32" t="str">
        <f t="shared" si="4"/>
        <v xml:space="preserve">    34  </v>
      </c>
      <c r="D32" t="str">
        <f t="shared" si="3"/>
        <v>Bartz-HoxNorf-FF5</v>
      </c>
      <c r="G32" t="s">
        <v>186</v>
      </c>
      <c r="J32" t="s">
        <v>290</v>
      </c>
      <c r="K32">
        <v>39</v>
      </c>
    </row>
    <row r="33" spans="1:11">
      <c r="A33" t="s">
        <v>30</v>
      </c>
      <c r="C33" t="str">
        <f t="shared" si="4"/>
        <v xml:space="preserve">    35  </v>
      </c>
      <c r="D33" t="str">
        <f t="shared" si="3"/>
        <v>Berserker-Badass-FF5</v>
      </c>
      <c r="G33" t="s">
        <v>187</v>
      </c>
      <c r="J33" t="s">
        <v>291</v>
      </c>
      <c r="K33">
        <v>40</v>
      </c>
    </row>
    <row r="34" spans="1:11">
      <c r="A34" t="s">
        <v>31</v>
      </c>
      <c r="C34" t="str">
        <f t="shared" si="4"/>
        <v xml:space="preserve">    36  </v>
      </c>
      <c r="D34" t="str">
        <f t="shared" si="3"/>
        <v>Bird-JamesWhite89-FF6</v>
      </c>
      <c r="G34" t="s">
        <v>188</v>
      </c>
      <c r="J34" t="s">
        <v>292</v>
      </c>
      <c r="K34">
        <v>41</v>
      </c>
    </row>
    <row r="35" spans="1:11">
      <c r="A35" t="s">
        <v>32</v>
      </c>
      <c r="C35" t="str">
        <f t="shared" si="4"/>
        <v xml:space="preserve">    37  </v>
      </c>
      <c r="D35" t="str">
        <f t="shared" si="3"/>
        <v>Boco-JamesWhite89-FF5</v>
      </c>
      <c r="G35" t="s">
        <v>189</v>
      </c>
      <c r="J35" t="s">
        <v>293</v>
      </c>
      <c r="K35">
        <v>42</v>
      </c>
    </row>
    <row r="36" spans="1:11">
      <c r="A36" t="s">
        <v>33</v>
      </c>
      <c r="C36" t="str">
        <f t="shared" si="4"/>
        <v xml:space="preserve">    38  </v>
      </c>
      <c r="D36" t="str">
        <f t="shared" si="3"/>
        <v>Bomb-JamesWhite89-FF6</v>
      </c>
      <c r="G36" t="s">
        <v>190</v>
      </c>
      <c r="J36" t="s">
        <v>294</v>
      </c>
      <c r="K36">
        <v>43</v>
      </c>
    </row>
    <row r="37" spans="1:11">
      <c r="A37" t="s">
        <v>34</v>
      </c>
      <c r="C37" t="str">
        <f t="shared" si="4"/>
        <v xml:space="preserve">    39  </v>
      </c>
      <c r="D37" t="str">
        <f t="shared" si="3"/>
        <v>Bubble Dragon-Badass-BB</v>
      </c>
      <c r="G37" t="s">
        <v>191</v>
      </c>
      <c r="J37" t="s">
        <v>295</v>
      </c>
      <c r="K37">
        <v>44</v>
      </c>
    </row>
    <row r="38" spans="1:11">
      <c r="A38" t="s">
        <v>35</v>
      </c>
      <c r="C38" t="str">
        <f t="shared" si="4"/>
        <v xml:space="preserve">    40  </v>
      </c>
      <c r="D38" t="str">
        <f t="shared" si="3"/>
        <v>Cecil (Dark Knight)-MetroidQuest-EC</v>
      </c>
      <c r="G38" t="s">
        <v>192</v>
      </c>
      <c r="J38" t="s">
        <v>296</v>
      </c>
      <c r="K38">
        <v>45</v>
      </c>
    </row>
    <row r="39" spans="1:11">
      <c r="A39" t="s">
        <v>36</v>
      </c>
      <c r="C39" t="str">
        <f t="shared" si="4"/>
        <v xml:space="preserve">    41  </v>
      </c>
      <c r="D39" t="str">
        <f t="shared" si="3"/>
        <v>Cecil (Paladin)-MetroidQuest-EC</v>
      </c>
      <c r="G39" t="s">
        <v>193</v>
      </c>
      <c r="J39" t="s">
        <v>297</v>
      </c>
      <c r="K39">
        <v>46</v>
      </c>
    </row>
    <row r="40" spans="1:11">
      <c r="A40" t="s">
        <v>37</v>
      </c>
      <c r="C40" t="str">
        <f t="shared" si="4"/>
        <v xml:space="preserve">    42  </v>
      </c>
      <c r="D40" t="str">
        <f t="shared" si="3"/>
        <v>Chancellor-Zozma-FF6</v>
      </c>
      <c r="G40" t="s">
        <v>194</v>
      </c>
      <c r="J40" t="s">
        <v>298</v>
      </c>
      <c r="K40">
        <v>47</v>
      </c>
    </row>
    <row r="41" spans="1:11">
      <c r="A41" t="s">
        <v>38</v>
      </c>
      <c r="C41" t="str">
        <f t="shared" si="4"/>
        <v xml:space="preserve">    43  </v>
      </c>
      <c r="D41" t="str">
        <f t="shared" si="3"/>
        <v>Cid-HoxNorf-FF4</v>
      </c>
      <c r="G41" t="s">
        <v>195</v>
      </c>
      <c r="J41" t="s">
        <v>299</v>
      </c>
      <c r="K41">
        <v>48</v>
      </c>
    </row>
    <row r="42" spans="1:11">
      <c r="A42" t="s">
        <v>39</v>
      </c>
      <c r="C42" t="str">
        <f t="shared" si="4"/>
        <v xml:space="preserve">    44  </v>
      </c>
      <c r="D42" t="str">
        <f t="shared" si="3"/>
        <v>Cirno-HoxNorf-Touhou</v>
      </c>
      <c r="G42" t="s">
        <v>196</v>
      </c>
      <c r="J42" t="s">
        <v>300</v>
      </c>
      <c r="K42">
        <v>49</v>
      </c>
    </row>
    <row r="43" spans="1:11">
      <c r="A43" t="s">
        <v>40</v>
      </c>
      <c r="C43" t="str">
        <f t="shared" si="4"/>
        <v xml:space="preserve">    45  </v>
      </c>
      <c r="D43" t="str">
        <f t="shared" si="3"/>
        <v>Cloud-HoxNorf-FF7</v>
      </c>
      <c r="G43" t="s">
        <v>197</v>
      </c>
      <c r="J43" t="s">
        <v>301</v>
      </c>
      <c r="K43">
        <v>50</v>
      </c>
    </row>
    <row r="44" spans="1:11">
      <c r="A44" t="s">
        <v>41</v>
      </c>
      <c r="C44" t="str">
        <f t="shared" si="4"/>
        <v xml:space="preserve">    46  </v>
      </c>
      <c r="D44" t="str">
        <f t="shared" si="3"/>
        <v>Crono (No Sword)-Badass-CT</v>
      </c>
      <c r="G44" t="s">
        <v>198</v>
      </c>
      <c r="J44" t="s">
        <v>302</v>
      </c>
      <c r="K44">
        <v>51</v>
      </c>
    </row>
    <row r="45" spans="1:11">
      <c r="A45" t="s">
        <v>42</v>
      </c>
      <c r="C45" t="str">
        <f t="shared" si="4"/>
        <v xml:space="preserve">    47  </v>
      </c>
      <c r="D45" t="str">
        <f t="shared" si="3"/>
        <v>Crono (Sword)-Badass-CT</v>
      </c>
      <c r="G45" t="s">
        <v>199</v>
      </c>
      <c r="J45" t="s">
        <v>303</v>
      </c>
      <c r="K45">
        <v>52</v>
      </c>
    </row>
    <row r="46" spans="1:11">
      <c r="A46" t="s">
        <v>43</v>
      </c>
      <c r="C46" t="str">
        <f t="shared" si="4"/>
        <v xml:space="preserve">    48  </v>
      </c>
      <c r="D46" t="str">
        <f t="shared" si="3"/>
        <v>Devout-HoxNorf-FF</v>
      </c>
      <c r="G46" t="s">
        <v>200</v>
      </c>
      <c r="J46" t="s">
        <v>304</v>
      </c>
      <c r="K46">
        <v>53</v>
      </c>
    </row>
    <row r="47" spans="1:11">
      <c r="A47" t="s">
        <v>44</v>
      </c>
      <c r="C47" t="str">
        <f t="shared" si="4"/>
        <v xml:space="preserve">    49  </v>
      </c>
      <c r="D47" t="str">
        <f t="shared" si="3"/>
        <v>Edea-CtrlxZ-FF8</v>
      </c>
      <c r="G47" t="s">
        <v>201</v>
      </c>
      <c r="J47" t="s">
        <v>305</v>
      </c>
      <c r="K47">
        <v>54</v>
      </c>
    </row>
    <row r="48" spans="1:11">
      <c r="A48" t="s">
        <v>45</v>
      </c>
      <c r="C48" t="str">
        <f t="shared" si="4"/>
        <v xml:space="preserve">    50  </v>
      </c>
      <c r="D48" t="str">
        <f t="shared" si="3"/>
        <v>Edge-PocoLoco-FF4</v>
      </c>
      <c r="G48" t="s">
        <v>202</v>
      </c>
      <c r="J48" t="s">
        <v>306</v>
      </c>
      <c r="K48">
        <v>55</v>
      </c>
    </row>
    <row r="49" spans="1:11">
      <c r="A49" t="s">
        <v>46</v>
      </c>
      <c r="C49" t="str">
        <f t="shared" si="4"/>
        <v xml:space="preserve">    51  </v>
      </c>
      <c r="D49" t="str">
        <f t="shared" si="3"/>
        <v>Edward-SpoonyBard-FFRK</v>
      </c>
      <c r="G49" t="s">
        <v>203</v>
      </c>
      <c r="J49" t="s">
        <v>307</v>
      </c>
      <c r="K49">
        <v>56</v>
      </c>
    </row>
    <row r="50" spans="1:11">
      <c r="A50" t="s">
        <v>47</v>
      </c>
      <c r="C50" t="str">
        <f t="shared" si="4"/>
        <v xml:space="preserve">    52  </v>
      </c>
      <c r="D50" t="str">
        <f t="shared" si="3"/>
        <v>Edward-Zozma-FF4</v>
      </c>
      <c r="G50" t="s">
        <v>204</v>
      </c>
      <c r="J50" t="s">
        <v>308</v>
      </c>
      <c r="K50">
        <v>57</v>
      </c>
    </row>
    <row r="51" spans="1:11">
      <c r="A51" t="s">
        <v>48</v>
      </c>
      <c r="C51" t="str">
        <f t="shared" si="4"/>
        <v xml:space="preserve">    53  </v>
      </c>
      <c r="D51" t="str">
        <f t="shared" si="3"/>
        <v>Eiko-PocoLoco-FF9</v>
      </c>
      <c r="G51" t="s">
        <v>205</v>
      </c>
      <c r="J51" t="s">
        <v>309</v>
      </c>
      <c r="K51">
        <v>58</v>
      </c>
    </row>
    <row r="52" spans="1:11">
      <c r="A52" t="s">
        <v>49</v>
      </c>
      <c r="C52" t="str">
        <f t="shared" si="4"/>
        <v xml:space="preserve">    54  </v>
      </c>
      <c r="D52" t="str">
        <f t="shared" si="3"/>
        <v>Eiko-ScarabEnigma-FF9</v>
      </c>
      <c r="G52" t="s">
        <v>206</v>
      </c>
      <c r="J52" t="s">
        <v>310</v>
      </c>
      <c r="K52">
        <v>59</v>
      </c>
    </row>
    <row r="53" spans="1:11">
      <c r="A53" t="s">
        <v>50</v>
      </c>
      <c r="C53" t="str">
        <f t="shared" si="4"/>
        <v xml:space="preserve">    55  </v>
      </c>
      <c r="D53" t="str">
        <f t="shared" si="3"/>
        <v>Elarra-HoxNorf-FFRK</v>
      </c>
      <c r="G53" t="s">
        <v>207</v>
      </c>
      <c r="J53" t="s">
        <v>311</v>
      </c>
      <c r="K53">
        <v>60</v>
      </c>
    </row>
    <row r="54" spans="1:11">
      <c r="A54" t="s">
        <v>51</v>
      </c>
      <c r="C54" t="str">
        <f t="shared" si="4"/>
        <v xml:space="preserve">    56  </v>
      </c>
      <c r="D54" t="str">
        <f t="shared" si="3"/>
        <v>Exdeath-CtrlxZ-FF5</v>
      </c>
      <c r="G54" t="s">
        <v>208</v>
      </c>
      <c r="J54" t="s">
        <v>312</v>
      </c>
      <c r="K54">
        <v>61</v>
      </c>
    </row>
    <row r="55" spans="1:11">
      <c r="A55" t="s">
        <v>52</v>
      </c>
      <c r="C55" t="str">
        <f t="shared" si="4"/>
        <v xml:space="preserve">    57  </v>
      </c>
      <c r="D55" t="str">
        <f t="shared" si="3"/>
        <v>Faris (Summoner)-FEOK-FF5</v>
      </c>
      <c r="G55" t="s">
        <v>209</v>
      </c>
      <c r="J55" t="s">
        <v>313</v>
      </c>
      <c r="K55">
        <v>62</v>
      </c>
    </row>
    <row r="56" spans="1:11">
      <c r="A56" t="s">
        <v>53</v>
      </c>
      <c r="C56" t="str">
        <f t="shared" si="4"/>
        <v xml:space="preserve">    58  </v>
      </c>
      <c r="D56" t="str">
        <f t="shared" si="3"/>
        <v>Faris-HoxNorf-FF5</v>
      </c>
      <c r="G56" t="s">
        <v>210</v>
      </c>
      <c r="J56" t="s">
        <v>314</v>
      </c>
      <c r="K56">
        <v>63</v>
      </c>
    </row>
    <row r="57" spans="1:11">
      <c r="A57" t="s">
        <v>54</v>
      </c>
      <c r="C57" t="str">
        <f t="shared" si="4"/>
        <v xml:space="preserve">    59  </v>
      </c>
      <c r="D57" t="str">
        <f t="shared" si="3"/>
        <v>Fish-ScarabEnigma-FF6</v>
      </c>
      <c r="G57" t="s">
        <v>211</v>
      </c>
      <c r="J57" t="s">
        <v>315</v>
      </c>
      <c r="K57">
        <v>64</v>
      </c>
    </row>
    <row r="58" spans="1:11">
      <c r="A58" t="s">
        <v>55</v>
      </c>
      <c r="C58" t="str">
        <f t="shared" si="4"/>
        <v xml:space="preserve">    60  </v>
      </c>
      <c r="D58" t="str">
        <f t="shared" si="3"/>
        <v>Freya-HoxNorf-FF9</v>
      </c>
      <c r="G58" t="s">
        <v>212</v>
      </c>
      <c r="J58" t="s">
        <v>316</v>
      </c>
      <c r="K58">
        <v>65</v>
      </c>
    </row>
    <row r="59" spans="1:11">
      <c r="A59" t="s">
        <v>56</v>
      </c>
      <c r="C59" t="str">
        <f t="shared" si="4"/>
        <v xml:space="preserve">    61  </v>
      </c>
      <c r="D59" t="str">
        <f t="shared" si="3"/>
        <v>Frog-Badass-CT</v>
      </c>
      <c r="G59" t="s">
        <v>213</v>
      </c>
      <c r="J59" t="s">
        <v>317</v>
      </c>
      <c r="K59">
        <v>66</v>
      </c>
    </row>
    <row r="60" spans="1:11">
      <c r="A60" t="s">
        <v>57</v>
      </c>
      <c r="C60" t="str">
        <f t="shared" si="4"/>
        <v xml:space="preserve">    62  </v>
      </c>
      <c r="D60" t="str">
        <f t="shared" si="3"/>
        <v>Frog-MetroidQuest-EC</v>
      </c>
      <c r="G60" t="s">
        <v>214</v>
      </c>
      <c r="J60" t="s">
        <v>318</v>
      </c>
      <c r="K60">
        <v>67</v>
      </c>
    </row>
    <row r="61" spans="1:11">
      <c r="A61" t="s">
        <v>58</v>
      </c>
      <c r="C61" t="str">
        <f t="shared" si="4"/>
        <v xml:space="preserve">    63  </v>
      </c>
      <c r="D61" t="str">
        <f t="shared" si="3"/>
        <v>FuSoYa-FEOK-FF4</v>
      </c>
      <c r="G61" t="s">
        <v>215</v>
      </c>
      <c r="J61" t="s">
        <v>319</v>
      </c>
      <c r="K61">
        <v>68</v>
      </c>
    </row>
    <row r="62" spans="1:11">
      <c r="A62" t="s">
        <v>59</v>
      </c>
      <c r="C62" t="str">
        <f t="shared" si="4"/>
        <v xml:space="preserve">    64  </v>
      </c>
      <c r="D62" t="str">
        <f t="shared" si="3"/>
        <v>Galuf-HoxNorf-FF5</v>
      </c>
      <c r="G62" t="s">
        <v>216</v>
      </c>
      <c r="J62" t="s">
        <v>320</v>
      </c>
      <c r="K62">
        <v>69</v>
      </c>
    </row>
    <row r="63" spans="1:11">
      <c r="A63" t="s">
        <v>60</v>
      </c>
      <c r="C63" t="str">
        <f t="shared" si="4"/>
        <v xml:space="preserve">    65  </v>
      </c>
      <c r="D63" t="str">
        <f t="shared" si="3"/>
        <v>Gardevoir-LoneRedMage-Pokemon</v>
      </c>
      <c r="G63" t="s">
        <v>217</v>
      </c>
      <c r="J63" t="s">
        <v>321</v>
      </c>
      <c r="K63">
        <v>70</v>
      </c>
    </row>
    <row r="64" spans="1:11">
      <c r="A64" t="s">
        <v>61</v>
      </c>
      <c r="C64" t="str">
        <f t="shared" si="4"/>
        <v xml:space="preserve">    66  </v>
      </c>
      <c r="D64" t="str">
        <f t="shared" si="3"/>
        <v>Garnet (Long Hair)-HoxNorf-FF9</v>
      </c>
      <c r="G64" t="s">
        <v>218</v>
      </c>
      <c r="J64" t="s">
        <v>322</v>
      </c>
      <c r="K64">
        <v>71</v>
      </c>
    </row>
    <row r="65" spans="1:11">
      <c r="A65" t="s">
        <v>62</v>
      </c>
      <c r="C65" t="str">
        <f t="shared" si="4"/>
        <v xml:space="preserve">    67  </v>
      </c>
      <c r="D65" t="str">
        <f t="shared" si="3"/>
        <v>Garnet (Short Hair)-HoxNorf-FF9</v>
      </c>
      <c r="G65" t="s">
        <v>219</v>
      </c>
      <c r="J65" t="s">
        <v>323</v>
      </c>
      <c r="K65">
        <v>72</v>
      </c>
    </row>
    <row r="66" spans="1:11">
      <c r="A66" t="s">
        <v>63</v>
      </c>
      <c r="C66" t="str">
        <f t="shared" si="4"/>
        <v xml:space="preserve">    68  </v>
      </c>
      <c r="D66" t="str">
        <f t="shared" si="3"/>
        <v>Gau (Suit)-Zozma-FF6</v>
      </c>
      <c r="G66" t="s">
        <v>220</v>
      </c>
      <c r="J66" t="s">
        <v>324</v>
      </c>
      <c r="K66">
        <v>73</v>
      </c>
    </row>
    <row r="67" spans="1:11">
      <c r="A67" t="s">
        <v>64</v>
      </c>
      <c r="C67" t="str">
        <f t="shared" si="4"/>
        <v xml:space="preserve">    69  </v>
      </c>
      <c r="D67" t="str">
        <f t="shared" si="3"/>
        <v>General Leo (Full)-SpoonyBard-FF6</v>
      </c>
      <c r="G67" t="s">
        <v>221</v>
      </c>
      <c r="J67" t="s">
        <v>325</v>
      </c>
      <c r="K67">
        <v>74</v>
      </c>
    </row>
    <row r="68" spans="1:11">
      <c r="A68" t="s">
        <v>65</v>
      </c>
      <c r="C68" t="str">
        <f t="shared" si="4"/>
        <v xml:space="preserve">    70  </v>
      </c>
      <c r="D68" t="str">
        <f t="shared" si="3"/>
        <v>General Leo (Redone)-SpoonyBard-FF6</v>
      </c>
      <c r="G68" t="s">
        <v>222</v>
      </c>
      <c r="J68" t="s">
        <v>326</v>
      </c>
      <c r="K68">
        <v>75</v>
      </c>
    </row>
    <row r="69" spans="1:11">
      <c r="A69" t="s">
        <v>66</v>
      </c>
      <c r="C69" t="str">
        <f t="shared" si="4"/>
        <v xml:space="preserve">    71  </v>
      </c>
      <c r="D69" t="str">
        <f t="shared" si="3"/>
        <v>Gestahl-MetroidQuest-EC</v>
      </c>
      <c r="G69" t="s">
        <v>223</v>
      </c>
      <c r="J69" t="s">
        <v>327</v>
      </c>
      <c r="K69">
        <v>76</v>
      </c>
    </row>
    <row r="70" spans="1:11">
      <c r="A70" t="s">
        <v>67</v>
      </c>
      <c r="C70" t="str">
        <f t="shared" si="4"/>
        <v xml:space="preserve">    72  </v>
      </c>
      <c r="D70" t="str">
        <f t="shared" si="3"/>
        <v>Gilgamesh-Kugawattan-FF5</v>
      </c>
      <c r="G70" t="s">
        <v>224</v>
      </c>
      <c r="J70" t="s">
        <v>328</v>
      </c>
      <c r="K70">
        <v>77</v>
      </c>
    </row>
    <row r="71" spans="1:11">
      <c r="A71" t="s">
        <v>68</v>
      </c>
      <c r="C71" t="str">
        <f t="shared" si="4"/>
        <v xml:space="preserve">    73  </v>
      </c>
      <c r="D71" t="str">
        <f t="shared" si="3"/>
        <v>Golbez-FEOK-FF4</v>
      </c>
      <c r="G71" t="s">
        <v>225</v>
      </c>
      <c r="J71" t="s">
        <v>329</v>
      </c>
      <c r="K71">
        <v>78</v>
      </c>
    </row>
    <row r="72" spans="1:11">
      <c r="A72" t="s">
        <v>69</v>
      </c>
      <c r="C72" t="str">
        <f t="shared" si="4"/>
        <v xml:space="preserve">    74  </v>
      </c>
      <c r="D72" t="str">
        <f t="shared" si="3"/>
        <v>Iffy-HoxNorf-Neptunia</v>
      </c>
      <c r="G72" t="s">
        <v>226</v>
      </c>
      <c r="J72" t="s">
        <v>330</v>
      </c>
      <c r="K72">
        <v>79</v>
      </c>
    </row>
    <row r="73" spans="1:11">
      <c r="A73" t="s">
        <v>70</v>
      </c>
      <c r="C73" t="str">
        <f t="shared" si="4"/>
        <v xml:space="preserve">    75  </v>
      </c>
      <c r="D73" t="str">
        <f t="shared" si="3"/>
        <v>Impressario-LoneRedMage-FF6</v>
      </c>
      <c r="G73" t="s">
        <v>227</v>
      </c>
      <c r="J73" t="s">
        <v>331</v>
      </c>
      <c r="K73">
        <v>80</v>
      </c>
    </row>
    <row r="74" spans="1:11">
      <c r="A74" t="s">
        <v>71</v>
      </c>
      <c r="C74" t="str">
        <f t="shared" si="4"/>
        <v xml:space="preserve">    76  </v>
      </c>
      <c r="D74" t="str">
        <f t="shared" si="3"/>
        <v>Interceptor-JamesWhite89-FF6</v>
      </c>
      <c r="G74" t="s">
        <v>228</v>
      </c>
      <c r="J74" t="s">
        <v>332</v>
      </c>
      <c r="K74">
        <v>81</v>
      </c>
    </row>
    <row r="75" spans="1:11">
      <c r="A75" t="s">
        <v>72</v>
      </c>
      <c r="C75" t="str">
        <f t="shared" si="4"/>
        <v xml:space="preserve">    77  </v>
      </c>
      <c r="D75" t="str">
        <f t="shared" si="3"/>
        <v>Iris-HoxNorf-FF15</v>
      </c>
      <c r="G75" t="s">
        <v>229</v>
      </c>
      <c r="J75" t="s">
        <v>333</v>
      </c>
      <c r="K75">
        <v>82</v>
      </c>
    </row>
    <row r="76" spans="1:11">
      <c r="A76" t="s">
        <v>73</v>
      </c>
      <c r="C76" t="str">
        <f t="shared" si="4"/>
        <v xml:space="preserve">    78  </v>
      </c>
      <c r="D76" t="str">
        <f t="shared" si="3"/>
        <v>Jessie-HoxNorf-FF7</v>
      </c>
      <c r="G76" t="s">
        <v>230</v>
      </c>
      <c r="J76" t="s">
        <v>334</v>
      </c>
      <c r="K76">
        <v>83</v>
      </c>
    </row>
    <row r="77" spans="1:11">
      <c r="A77" t="s">
        <v>74</v>
      </c>
      <c r="C77" t="str">
        <f t="shared" si="4"/>
        <v xml:space="preserve">    79  </v>
      </c>
      <c r="D77" t="str">
        <f t="shared" si="3"/>
        <v>Kain-MetroidQuest-EC</v>
      </c>
      <c r="G77" t="s">
        <v>231</v>
      </c>
      <c r="J77" t="s">
        <v>335</v>
      </c>
      <c r="K77">
        <v>84</v>
      </c>
    </row>
    <row r="78" spans="1:11">
      <c r="A78" t="s">
        <v>75</v>
      </c>
      <c r="C78" t="str">
        <f t="shared" si="4"/>
        <v xml:space="preserve">    80  </v>
      </c>
      <c r="D78" t="str">
        <f t="shared" si="3"/>
        <v>Kain-SpoonyBard-FFRK</v>
      </c>
      <c r="G78" t="s">
        <v>232</v>
      </c>
      <c r="J78" t="s">
        <v>336</v>
      </c>
      <c r="K78">
        <v>85</v>
      </c>
    </row>
    <row r="79" spans="1:11">
      <c r="A79" t="s">
        <v>76</v>
      </c>
      <c r="C79" t="str">
        <f t="shared" si="4"/>
        <v xml:space="preserve">    81  </v>
      </c>
      <c r="D79" t="str">
        <f t="shared" si="3"/>
        <v>Katarin-Zozma-FF6</v>
      </c>
      <c r="G79" t="s">
        <v>233</v>
      </c>
      <c r="J79" t="s">
        <v>337</v>
      </c>
      <c r="K79">
        <v>86</v>
      </c>
    </row>
    <row r="80" spans="1:11">
      <c r="A80" t="s">
        <v>77</v>
      </c>
      <c r="C80" t="str">
        <f t="shared" si="4"/>
        <v xml:space="preserve">    82  </v>
      </c>
      <c r="D80" t="str">
        <f t="shared" si="3"/>
        <v>Kelgar-CtrlxZ-FF5</v>
      </c>
      <c r="G80" t="s">
        <v>234</v>
      </c>
      <c r="J80" t="s">
        <v>338</v>
      </c>
      <c r="K80">
        <v>87</v>
      </c>
    </row>
    <row r="81" spans="1:11">
      <c r="A81" t="s">
        <v>78</v>
      </c>
      <c r="C81" t="str">
        <f t="shared" si="4"/>
        <v xml:space="preserve">    83  </v>
      </c>
      <c r="D81" t="str">
        <f t="shared" si="3"/>
        <v>King Baron-JamesWhite89-FF4</v>
      </c>
      <c r="G81" t="s">
        <v>235</v>
      </c>
      <c r="J81" t="s">
        <v>339</v>
      </c>
      <c r="K81">
        <v>88</v>
      </c>
    </row>
    <row r="82" spans="1:11">
      <c r="A82" t="s">
        <v>79</v>
      </c>
      <c r="C82" t="str">
        <f t="shared" si="4"/>
        <v xml:space="preserve">    84  </v>
      </c>
      <c r="D82" t="str">
        <f t="shared" si="3"/>
        <v>Krile-HoxNorf-FF5</v>
      </c>
      <c r="G82" t="s">
        <v>236</v>
      </c>
      <c r="J82" t="s">
        <v>340</v>
      </c>
      <c r="K82">
        <v>89</v>
      </c>
    </row>
    <row r="83" spans="1:11">
      <c r="A83" t="s">
        <v>80</v>
      </c>
      <c r="C83" t="str">
        <f t="shared" si="4"/>
        <v xml:space="preserve">    85  </v>
      </c>
      <c r="D83" t="str">
        <f t="shared" si="3"/>
        <v>Laguna-PocoLoco-FF8</v>
      </c>
      <c r="G83" t="s">
        <v>237</v>
      </c>
      <c r="J83" t="s">
        <v>341</v>
      </c>
      <c r="K83">
        <v>90</v>
      </c>
    </row>
    <row r="84" spans="1:11">
      <c r="A84" t="s">
        <v>81</v>
      </c>
      <c r="C84" t="str">
        <f t="shared" si="4"/>
        <v xml:space="preserve">    86  </v>
      </c>
      <c r="D84" t="str">
        <f t="shared" si="3"/>
        <v>Lenna (White Mage)-HoxNorf-FF5</v>
      </c>
      <c r="G84" t="s">
        <v>238</v>
      </c>
      <c r="J84" t="s">
        <v>342</v>
      </c>
      <c r="K84">
        <v>91</v>
      </c>
    </row>
    <row r="85" spans="1:11">
      <c r="A85" t="s">
        <v>82</v>
      </c>
      <c r="C85" t="str">
        <f t="shared" si="4"/>
        <v xml:space="preserve">    87  </v>
      </c>
      <c r="D85" t="str">
        <f t="shared" si="3"/>
        <v>Lenna-HoxNorf-FF5</v>
      </c>
      <c r="G85" t="s">
        <v>239</v>
      </c>
      <c r="J85" t="s">
        <v>343</v>
      </c>
      <c r="K85">
        <v>92</v>
      </c>
    </row>
    <row r="86" spans="1:11">
      <c r="A86" t="s">
        <v>83</v>
      </c>
      <c r="C86" t="str">
        <f t="shared" si="4"/>
        <v xml:space="preserve">    88  </v>
      </c>
      <c r="D86" t="str">
        <f t="shared" si="3"/>
        <v>Lightning-FEOK-FF13</v>
      </c>
      <c r="G86" t="s">
        <v>240</v>
      </c>
      <c r="J86" t="s">
        <v>344</v>
      </c>
      <c r="K86">
        <v>93</v>
      </c>
    </row>
    <row r="87" spans="1:11">
      <c r="A87" t="s">
        <v>84</v>
      </c>
      <c r="C87" t="str">
        <f t="shared" si="4"/>
        <v xml:space="preserve">    89  </v>
      </c>
      <c r="D87" t="str">
        <f t="shared" si="3"/>
        <v>Magus-FEOK-CT</v>
      </c>
      <c r="G87" t="s">
        <v>241</v>
      </c>
      <c r="J87" t="s">
        <v>345</v>
      </c>
      <c r="K87">
        <v>94</v>
      </c>
    </row>
    <row r="88" spans="1:11">
      <c r="A88" t="s">
        <v>85</v>
      </c>
      <c r="C88" t="str">
        <f t="shared" si="4"/>
        <v xml:space="preserve">    90  </v>
      </c>
      <c r="D88" t="str">
        <f t="shared" si="3"/>
        <v>Magus-MetroidQuest-EC</v>
      </c>
      <c r="G88" t="s">
        <v>242</v>
      </c>
      <c r="J88" t="s">
        <v>346</v>
      </c>
      <c r="K88">
        <v>95</v>
      </c>
    </row>
    <row r="89" spans="1:11">
      <c r="A89" t="s">
        <v>86</v>
      </c>
      <c r="C89" t="str">
        <f t="shared" si="4"/>
        <v xml:space="preserve">    91  </v>
      </c>
      <c r="D89" t="str">
        <f t="shared" si="3"/>
        <v>Mini-JamesWhite89-FF</v>
      </c>
      <c r="G89" t="s">
        <v>243</v>
      </c>
      <c r="J89" t="s">
        <v>347</v>
      </c>
      <c r="K89">
        <v>96</v>
      </c>
    </row>
    <row r="90" spans="1:11">
      <c r="A90" t="s">
        <v>87</v>
      </c>
      <c r="C90" t="str">
        <f t="shared" si="4"/>
        <v xml:space="preserve">    92  </v>
      </c>
      <c r="D90" t="str">
        <f t="shared" si="3"/>
        <v>Mog-JamesWhite89-FF6E</v>
      </c>
      <c r="G90" t="s">
        <v>244</v>
      </c>
      <c r="J90" t="s">
        <v>348</v>
      </c>
      <c r="K90">
        <v>97</v>
      </c>
    </row>
    <row r="91" spans="1:11">
      <c r="A91" t="s">
        <v>88</v>
      </c>
      <c r="C91" t="str">
        <f t="shared" si="4"/>
        <v xml:space="preserve">    93  </v>
      </c>
      <c r="D91" t="str">
        <f t="shared" si="3"/>
        <v>Mystic Knight-CtrlxZ-FF5</v>
      </c>
      <c r="G91" t="s">
        <v>245</v>
      </c>
      <c r="J91" t="s">
        <v>349</v>
      </c>
      <c r="K91">
        <v>98</v>
      </c>
    </row>
    <row r="92" spans="1:11">
      <c r="A92" t="s">
        <v>89</v>
      </c>
      <c r="C92" t="str">
        <f t="shared" si="4"/>
        <v xml:space="preserve">    94  </v>
      </c>
      <c r="D92" t="str">
        <f t="shared" ref="D92:D155" si="5">MID(A92,FIND(":",A92,1)+3,LEN(A92)-FIND(":",A92,1)-4)</f>
        <v>Nepgear-HoxNorf-Neptunia</v>
      </c>
      <c r="G92" t="s">
        <v>246</v>
      </c>
      <c r="J92" t="s">
        <v>350</v>
      </c>
      <c r="K92">
        <v>99</v>
      </c>
    </row>
    <row r="93" spans="1:11">
      <c r="A93" t="s">
        <v>90</v>
      </c>
      <c r="C93" t="str">
        <f t="shared" ref="C93:C156" si="6">MID(A93,1,FIND(":",A93,1)-1)</f>
        <v xml:space="preserve">    95  </v>
      </c>
      <c r="D93" t="str">
        <f t="shared" si="5"/>
        <v>Neptune (Adult)-HoxNorf-Neptunia</v>
      </c>
      <c r="G93" t="s">
        <v>247</v>
      </c>
      <c r="J93" t="s">
        <v>351</v>
      </c>
      <c r="K93">
        <v>100</v>
      </c>
    </row>
    <row r="94" spans="1:11">
      <c r="A94" t="s">
        <v>91</v>
      </c>
      <c r="C94" t="str">
        <f t="shared" si="6"/>
        <v xml:space="preserve">    96  </v>
      </c>
      <c r="D94" t="str">
        <f t="shared" si="5"/>
        <v>Neptune-HoxNorf-Neptunia</v>
      </c>
      <c r="G94" t="s">
        <v>248</v>
      </c>
      <c r="J94" t="s">
        <v>352</v>
      </c>
      <c r="K94">
        <v>101</v>
      </c>
    </row>
    <row r="95" spans="1:11">
      <c r="A95" t="s">
        <v>92</v>
      </c>
      <c r="C95" t="str">
        <f t="shared" si="6"/>
        <v xml:space="preserve">    97  </v>
      </c>
      <c r="D95" t="str">
        <f t="shared" si="5"/>
        <v>Ninja-CtrlxZ-FF5</v>
      </c>
      <c r="G95" t="s">
        <v>249</v>
      </c>
      <c r="J95" t="s">
        <v>353</v>
      </c>
      <c r="K95">
        <v>102</v>
      </c>
    </row>
    <row r="96" spans="1:11">
      <c r="A96" t="s">
        <v>93</v>
      </c>
      <c r="C96" t="str">
        <f t="shared" si="6"/>
        <v xml:space="preserve">    98  </v>
      </c>
      <c r="D96" t="str">
        <f t="shared" si="5"/>
        <v>Onion Knight-FEOK-FF3</v>
      </c>
      <c r="G96" t="s">
        <v>250</v>
      </c>
      <c r="J96" t="s">
        <v>354</v>
      </c>
      <c r="K96">
        <v>103</v>
      </c>
    </row>
    <row r="97" spans="1:11">
      <c r="A97" t="s">
        <v>94</v>
      </c>
      <c r="C97" t="str">
        <f t="shared" si="6"/>
        <v xml:space="preserve">    99  </v>
      </c>
      <c r="D97" t="str">
        <f t="shared" si="5"/>
        <v>Palom-HoxNorf-FF4</v>
      </c>
      <c r="G97" t="s">
        <v>251</v>
      </c>
      <c r="J97" t="s">
        <v>355</v>
      </c>
      <c r="K97">
        <v>104</v>
      </c>
    </row>
    <row r="98" spans="1:11">
      <c r="A98" t="s">
        <v>95</v>
      </c>
      <c r="C98" t="str">
        <f t="shared" si="6"/>
        <v xml:space="preserve">    100 </v>
      </c>
      <c r="D98" t="str">
        <f t="shared" si="5"/>
        <v>Porom-HoxNorf-FF4</v>
      </c>
      <c r="G98" t="s">
        <v>252</v>
      </c>
      <c r="J98" t="s">
        <v>356</v>
      </c>
      <c r="K98">
        <v>105</v>
      </c>
    </row>
    <row r="99" spans="1:11">
      <c r="A99" t="s">
        <v>96</v>
      </c>
      <c r="C99" t="str">
        <f t="shared" si="6"/>
        <v xml:space="preserve">    101 </v>
      </c>
      <c r="D99" t="str">
        <f t="shared" si="5"/>
        <v>Quina-SpoonyBard-FFRK</v>
      </c>
      <c r="G99" t="s">
        <v>253</v>
      </c>
      <c r="J99" t="s">
        <v>357</v>
      </c>
      <c r="K99">
        <v>106</v>
      </c>
    </row>
    <row r="100" spans="1:11">
      <c r="A100" t="s">
        <v>97</v>
      </c>
      <c r="C100" t="str">
        <f t="shared" si="6"/>
        <v xml:space="preserve">    102 </v>
      </c>
      <c r="D100" t="str">
        <f t="shared" si="5"/>
        <v>Quistis-FEOK-FF8</v>
      </c>
      <c r="G100" t="s">
        <v>254</v>
      </c>
      <c r="J100" t="s">
        <v>358</v>
      </c>
      <c r="K100">
        <v>107</v>
      </c>
    </row>
    <row r="101" spans="1:11">
      <c r="A101" t="s">
        <v>98</v>
      </c>
      <c r="C101" t="str">
        <f t="shared" si="6"/>
        <v xml:space="preserve">    103 </v>
      </c>
      <c r="D101" t="str">
        <f t="shared" si="5"/>
        <v>Rachel-Zozma-FF6</v>
      </c>
      <c r="G101" t="s">
        <v>255</v>
      </c>
      <c r="J101" t="s">
        <v>359</v>
      </c>
      <c r="K101">
        <v>108</v>
      </c>
    </row>
    <row r="102" spans="1:11">
      <c r="A102" t="s">
        <v>99</v>
      </c>
      <c r="C102" t="str">
        <f t="shared" si="6"/>
        <v xml:space="preserve">    104 </v>
      </c>
      <c r="D102" t="str">
        <f t="shared" si="5"/>
        <v>Relm (Amano)-HoxNorf-FF6</v>
      </c>
      <c r="G102" t="s">
        <v>256</v>
      </c>
      <c r="J102" t="s">
        <v>360</v>
      </c>
      <c r="K102">
        <v>109</v>
      </c>
    </row>
    <row r="103" spans="1:11">
      <c r="A103" t="s">
        <v>100</v>
      </c>
      <c r="C103" t="str">
        <f t="shared" si="6"/>
        <v xml:space="preserve">    105 </v>
      </c>
      <c r="D103" t="str">
        <f t="shared" si="5"/>
        <v>Relm-MetroidQuest-EC</v>
      </c>
      <c r="G103" t="s">
        <v>257</v>
      </c>
      <c r="J103" t="s">
        <v>361</v>
      </c>
      <c r="K103">
        <v>110</v>
      </c>
    </row>
    <row r="104" spans="1:11">
      <c r="A104" t="s">
        <v>101</v>
      </c>
      <c r="C104" t="str">
        <f t="shared" si="6"/>
        <v xml:space="preserve">    106 </v>
      </c>
      <c r="D104" t="str">
        <f t="shared" si="5"/>
        <v>Reno-CtrlxZ-FF7</v>
      </c>
      <c r="G104" t="s">
        <v>258</v>
      </c>
      <c r="J104" t="s">
        <v>362</v>
      </c>
      <c r="K104">
        <v>111</v>
      </c>
    </row>
    <row r="105" spans="1:11">
      <c r="A105" t="s">
        <v>102</v>
      </c>
      <c r="C105" t="str">
        <f t="shared" si="6"/>
        <v xml:space="preserve">    107 </v>
      </c>
      <c r="D105" t="str">
        <f t="shared" si="5"/>
        <v>Robo-Badass-CT</v>
      </c>
      <c r="G105" t="s">
        <v>259</v>
      </c>
      <c r="J105" t="s">
        <v>363</v>
      </c>
      <c r="K105">
        <v>112</v>
      </c>
    </row>
    <row r="106" spans="1:11">
      <c r="A106" t="s">
        <v>103</v>
      </c>
      <c r="C106" t="str">
        <f t="shared" si="6"/>
        <v xml:space="preserve">    108 </v>
      </c>
      <c r="D106" t="str">
        <f t="shared" si="5"/>
        <v>Rosa-PocoLoco-FF4</v>
      </c>
      <c r="G106" t="s">
        <v>260</v>
      </c>
      <c r="J106" t="s">
        <v>364</v>
      </c>
      <c r="K106">
        <v>113</v>
      </c>
    </row>
    <row r="107" spans="1:11">
      <c r="A107" t="s">
        <v>104</v>
      </c>
      <c r="C107" t="str">
        <f t="shared" si="6"/>
        <v xml:space="preserve">    109 </v>
      </c>
      <c r="D107" t="str">
        <f t="shared" si="5"/>
        <v>Rydia (Child)-HoxNorf-FF4</v>
      </c>
      <c r="G107" t="s">
        <v>261</v>
      </c>
      <c r="J107" t="s">
        <v>365</v>
      </c>
      <c r="K107">
        <v>114</v>
      </c>
    </row>
    <row r="108" spans="1:11">
      <c r="A108" t="s">
        <v>105</v>
      </c>
      <c r="C108" t="str">
        <f t="shared" si="6"/>
        <v xml:space="preserve">    110 </v>
      </c>
      <c r="D108" t="str">
        <f t="shared" si="5"/>
        <v>Rydia-HoxNorf-FF4</v>
      </c>
      <c r="G108" t="s">
        <v>156</v>
      </c>
      <c r="J108" t="s">
        <v>366</v>
      </c>
      <c r="K108">
        <v>115</v>
      </c>
    </row>
    <row r="109" spans="1:11">
      <c r="A109" t="s">
        <v>106</v>
      </c>
      <c r="C109" t="str">
        <f t="shared" si="6"/>
        <v xml:space="preserve">    111 </v>
      </c>
      <c r="D109" t="str">
        <f t="shared" si="5"/>
        <v>Rydia-Zozma-FF4</v>
      </c>
      <c r="J109" t="s">
        <v>367</v>
      </c>
      <c r="K109">
        <v>116</v>
      </c>
    </row>
    <row r="110" spans="1:11">
      <c r="A110" t="s">
        <v>107</v>
      </c>
      <c r="C110" t="str">
        <f t="shared" si="6"/>
        <v xml:space="preserve">    112 </v>
      </c>
      <c r="D110" t="str">
        <f t="shared" si="5"/>
        <v>Ryu (Dragon)-Badass-BOF</v>
      </c>
      <c r="J110" t="s">
        <v>368</v>
      </c>
      <c r="K110">
        <v>117</v>
      </c>
    </row>
    <row r="111" spans="1:11">
      <c r="A111" t="s">
        <v>108</v>
      </c>
      <c r="C111" t="str">
        <f t="shared" si="6"/>
        <v xml:space="preserve">    113 </v>
      </c>
      <c r="D111" t="str">
        <f t="shared" si="5"/>
        <v>Ryu-Badass-BOF</v>
      </c>
      <c r="J111" t="s">
        <v>369</v>
      </c>
      <c r="K111">
        <v>118</v>
      </c>
    </row>
    <row r="112" spans="1:11">
      <c r="A112" t="s">
        <v>109</v>
      </c>
      <c r="C112" t="str">
        <f t="shared" si="6"/>
        <v xml:space="preserve">    114 </v>
      </c>
      <c r="D112" t="str">
        <f t="shared" si="5"/>
        <v>Samurai-CtrlxZ-FF5</v>
      </c>
      <c r="G112">
        <v>113</v>
      </c>
      <c r="H112" t="s">
        <v>984</v>
      </c>
      <c r="I112" t="str">
        <f t="shared" ref="I112:I159" si="7">"    "&amp;G112&amp;" : """&amp;H112&amp;""","</f>
        <v xml:space="preserve">    113 : "3tweight-p",</v>
      </c>
      <c r="J112" t="s">
        <v>370</v>
      </c>
      <c r="K112">
        <v>119</v>
      </c>
    </row>
    <row r="113" spans="1:11">
      <c r="A113" t="s">
        <v>110</v>
      </c>
      <c r="C113" t="str">
        <f t="shared" si="6"/>
        <v xml:space="preserve">    115 </v>
      </c>
      <c r="D113" t="str">
        <f t="shared" si="5"/>
        <v>Schala-HoxNorf-CT</v>
      </c>
      <c r="G113">
        <f>G112+1</f>
        <v>114</v>
      </c>
      <c r="H113" t="s">
        <v>985</v>
      </c>
      <c r="I113" t="str">
        <f t="shared" si="7"/>
        <v xml:space="preserve">    114 : "aerith-p",</v>
      </c>
      <c r="J113" t="s">
        <v>371</v>
      </c>
      <c r="K113">
        <v>120</v>
      </c>
    </row>
    <row r="114" spans="1:11">
      <c r="A114" t="s">
        <v>111</v>
      </c>
      <c r="C114" t="str">
        <f t="shared" si="6"/>
        <v xml:space="preserve">    116 </v>
      </c>
      <c r="D114" t="str">
        <f t="shared" si="5"/>
        <v>Sephiroth-CtrlxZ-FF7</v>
      </c>
      <c r="G114">
        <f t="shared" ref="G114:G177" si="8">G113+1</f>
        <v>115</v>
      </c>
      <c r="H114" t="s">
        <v>986</v>
      </c>
      <c r="I114" t="str">
        <f t="shared" si="7"/>
        <v xml:space="preserve">    115 : "agrias-p",</v>
      </c>
      <c r="J114" t="s">
        <v>372</v>
      </c>
      <c r="K114">
        <v>121</v>
      </c>
    </row>
    <row r="115" spans="1:11">
      <c r="A115" t="s">
        <v>112</v>
      </c>
      <c r="C115" t="str">
        <f t="shared" si="6"/>
        <v xml:space="preserve">    117 </v>
      </c>
      <c r="D115" t="str">
        <f t="shared" si="5"/>
        <v>Seymour-LoneRedMage-FF10</v>
      </c>
      <c r="G115">
        <f t="shared" si="8"/>
        <v>116</v>
      </c>
      <c r="H115" t="s">
        <v>987</v>
      </c>
      <c r="I115" t="str">
        <f t="shared" si="7"/>
        <v xml:space="preserve">    116 : "akari-p",</v>
      </c>
      <c r="J115" t="s">
        <v>373</v>
      </c>
      <c r="K115">
        <v>122</v>
      </c>
    </row>
    <row r="116" spans="1:11">
      <c r="A116" t="s">
        <v>113</v>
      </c>
      <c r="C116" t="str">
        <f t="shared" si="6"/>
        <v xml:space="preserve">    118 </v>
      </c>
      <c r="D116" t="str">
        <f t="shared" si="5"/>
        <v>Shantotto-HoxNorf-FF11</v>
      </c>
      <c r="G116">
        <f t="shared" si="8"/>
        <v>117</v>
      </c>
      <c r="H116" t="s">
        <v>988</v>
      </c>
      <c r="I116" t="str">
        <f t="shared" si="7"/>
        <v xml:space="preserve">    117 : "alarmclock-p",</v>
      </c>
      <c r="J116" t="s">
        <v>374</v>
      </c>
      <c r="K116">
        <v>123</v>
      </c>
    </row>
    <row r="117" spans="1:11">
      <c r="A117" t="s">
        <v>114</v>
      </c>
      <c r="C117" t="str">
        <f t="shared" si="6"/>
        <v xml:space="preserve">    119 </v>
      </c>
      <c r="D117" t="str">
        <f t="shared" si="5"/>
        <v>Soldier-LoneRedMage-FF4</v>
      </c>
      <c r="G117">
        <f t="shared" si="8"/>
        <v>118</v>
      </c>
      <c r="H117" t="s">
        <v>989</v>
      </c>
      <c r="I117" t="str">
        <f t="shared" si="7"/>
        <v xml:space="preserve">    118 : "algus-p",</v>
      </c>
      <c r="J117" t="s">
        <v>375</v>
      </c>
      <c r="K117">
        <v>124</v>
      </c>
    </row>
    <row r="118" spans="1:11">
      <c r="A118" t="s">
        <v>115</v>
      </c>
      <c r="C118" t="str">
        <f t="shared" si="6"/>
        <v xml:space="preserve">    120 </v>
      </c>
      <c r="D118" t="str">
        <f t="shared" si="5"/>
        <v>Steiner-FEOK-FF9</v>
      </c>
      <c r="G118">
        <f t="shared" si="8"/>
        <v>119</v>
      </c>
      <c r="H118" t="s">
        <v>990</v>
      </c>
      <c r="I118" t="str">
        <f t="shared" si="7"/>
        <v xml:space="preserve">    119 : "alma-p",</v>
      </c>
      <c r="J118" t="s">
        <v>376</v>
      </c>
      <c r="K118">
        <v>125</v>
      </c>
    </row>
    <row r="119" spans="1:11">
      <c r="A119" t="s">
        <v>116</v>
      </c>
      <c r="C119" t="str">
        <f t="shared" si="6"/>
        <v xml:space="preserve">    121 </v>
      </c>
      <c r="D119" t="str">
        <f t="shared" si="5"/>
        <v>Tellah-FEOK-FF4</v>
      </c>
      <c r="G119">
        <f t="shared" si="8"/>
        <v>120</v>
      </c>
      <c r="H119" t="s">
        <v>991</v>
      </c>
      <c r="I119" t="str">
        <f t="shared" si="7"/>
        <v xml:space="preserve">    120 : "alphys-p",</v>
      </c>
      <c r="J119" t="s">
        <v>377</v>
      </c>
      <c r="K119">
        <v>126</v>
      </c>
    </row>
    <row r="120" spans="1:11">
      <c r="A120" t="s">
        <v>117</v>
      </c>
      <c r="C120" t="str">
        <f t="shared" si="6"/>
        <v xml:space="preserve">    122 </v>
      </c>
      <c r="D120" t="str">
        <f t="shared" si="5"/>
        <v>Terra (Amano Blond Cape)-JCollins-FF6</v>
      </c>
      <c r="G120">
        <f t="shared" si="8"/>
        <v>121</v>
      </c>
      <c r="H120" t="s">
        <v>992</v>
      </c>
      <c r="I120" t="str">
        <f t="shared" si="7"/>
        <v xml:space="preserve">    121 : "amazon-female-p",</v>
      </c>
      <c r="J120" t="s">
        <v>378</v>
      </c>
      <c r="K120">
        <v>127</v>
      </c>
    </row>
    <row r="121" spans="1:11">
      <c r="A121" t="s">
        <v>118</v>
      </c>
      <c r="C121" t="str">
        <f t="shared" si="6"/>
        <v xml:space="preserve">    123 </v>
      </c>
      <c r="D121" t="str">
        <f t="shared" si="5"/>
        <v>Terra (Amano Cape)-JCollins-FF6</v>
      </c>
      <c r="G121">
        <f t="shared" si="8"/>
        <v>122</v>
      </c>
      <c r="H121" t="s">
        <v>993</v>
      </c>
      <c r="I121" t="str">
        <f t="shared" si="7"/>
        <v xml:space="preserve">    122 : "anna-p",</v>
      </c>
      <c r="J121" t="s">
        <v>379</v>
      </c>
      <c r="K121">
        <v>128</v>
      </c>
    </row>
    <row r="122" spans="1:11">
      <c r="A122" t="s">
        <v>119</v>
      </c>
      <c r="C122" t="str">
        <f t="shared" si="6"/>
        <v xml:space="preserve">    124 </v>
      </c>
      <c r="D122" t="str">
        <f t="shared" si="5"/>
        <v>Terra (Amano)-JCollins-FF6</v>
      </c>
      <c r="G122">
        <f t="shared" si="8"/>
        <v>123</v>
      </c>
      <c r="H122" t="s">
        <v>994</v>
      </c>
      <c r="I122" t="str">
        <f t="shared" si="7"/>
        <v xml:space="preserve">    123 : "antlion-p",</v>
      </c>
      <c r="J122" t="s">
        <v>380</v>
      </c>
      <c r="K122">
        <v>129</v>
      </c>
    </row>
    <row r="123" spans="1:11">
      <c r="A123" t="s">
        <v>120</v>
      </c>
      <c r="C123" t="str">
        <f t="shared" si="6"/>
        <v xml:space="preserve">    125 </v>
      </c>
      <c r="D123" t="str">
        <f t="shared" si="5"/>
        <v>Terra-MetroidQuest-EC</v>
      </c>
      <c r="G123">
        <f t="shared" si="8"/>
        <v>124</v>
      </c>
      <c r="H123" t="s">
        <v>995</v>
      </c>
      <c r="I123" t="str">
        <f t="shared" si="7"/>
        <v xml:space="preserve">    124 : "arc-p",</v>
      </c>
      <c r="J123" t="s">
        <v>381</v>
      </c>
      <c r="K123">
        <v>130</v>
      </c>
    </row>
    <row r="124" spans="1:11">
      <c r="A124" t="s">
        <v>121</v>
      </c>
      <c r="C124" t="str">
        <f t="shared" si="6"/>
        <v xml:space="preserve">    126 </v>
      </c>
      <c r="D124" t="str">
        <f t="shared" si="5"/>
        <v>Tiny Moogle-Rjenyawd-FF</v>
      </c>
      <c r="G124">
        <f t="shared" si="8"/>
        <v>125</v>
      </c>
      <c r="H124" t="s">
        <v>996</v>
      </c>
      <c r="I124" t="str">
        <f t="shared" si="7"/>
        <v xml:space="preserve">    125 : "arcanemage-p",</v>
      </c>
      <c r="J124" t="s">
        <v>382</v>
      </c>
      <c r="K124">
        <v>131</v>
      </c>
    </row>
    <row r="125" spans="1:11">
      <c r="A125" t="s">
        <v>122</v>
      </c>
      <c r="C125" t="str">
        <f t="shared" si="6"/>
        <v xml:space="preserve">    127 </v>
      </c>
      <c r="D125" t="str">
        <f t="shared" si="5"/>
        <v>Tohka-HoxNorf-DAL</v>
      </c>
      <c r="G125">
        <f t="shared" si="8"/>
        <v>126</v>
      </c>
      <c r="H125" t="s">
        <v>997</v>
      </c>
      <c r="I125" t="str">
        <f t="shared" si="7"/>
        <v xml:space="preserve">    126 : "archer-f-p",</v>
      </c>
      <c r="J125" t="s">
        <v>383</v>
      </c>
      <c r="K125">
        <v>132</v>
      </c>
    </row>
    <row r="126" spans="1:11">
      <c r="A126" t="s">
        <v>123</v>
      </c>
      <c r="C126" t="str">
        <f t="shared" si="6"/>
        <v xml:space="preserve">    128 </v>
      </c>
      <c r="D126" t="str">
        <f t="shared" si="5"/>
        <v>Tonberry-JamesWhite89-FF</v>
      </c>
      <c r="G126">
        <f t="shared" si="8"/>
        <v>127</v>
      </c>
      <c r="H126" t="s">
        <v>998</v>
      </c>
      <c r="I126" t="str">
        <f t="shared" si="7"/>
        <v xml:space="preserve">    127 : "archer-m-p",</v>
      </c>
      <c r="J126" t="s">
        <v>384</v>
      </c>
      <c r="K126">
        <v>133</v>
      </c>
    </row>
    <row r="127" spans="1:11">
      <c r="A127" t="s">
        <v>124</v>
      </c>
      <c r="C127" t="str">
        <f t="shared" si="6"/>
        <v xml:space="preserve">    129 </v>
      </c>
      <c r="D127" t="str">
        <f t="shared" si="5"/>
        <v>Ultros-PocoLoco-FF6</v>
      </c>
      <c r="G127">
        <f t="shared" si="8"/>
        <v>128</v>
      </c>
      <c r="H127" t="s">
        <v>999</v>
      </c>
      <c r="I127" t="str">
        <f t="shared" si="7"/>
        <v xml:space="preserve">    128 : "aria-p",</v>
      </c>
      <c r="J127" t="s">
        <v>385</v>
      </c>
      <c r="K127">
        <v>135</v>
      </c>
    </row>
    <row r="128" spans="1:11">
      <c r="A128" t="s">
        <v>125</v>
      </c>
      <c r="C128" t="str">
        <f t="shared" si="6"/>
        <v xml:space="preserve">    130 </v>
      </c>
      <c r="D128" t="str">
        <f t="shared" si="5"/>
        <v>Uni-HoxNorf-Neptunia</v>
      </c>
      <c r="G128">
        <f t="shared" si="8"/>
        <v>129</v>
      </c>
      <c r="H128" t="s">
        <v>1000</v>
      </c>
      <c r="I128" t="str">
        <f t="shared" si="7"/>
        <v xml:space="preserve">    129 : "arle-p",</v>
      </c>
      <c r="J128" t="s">
        <v>386</v>
      </c>
      <c r="K128">
        <v>134</v>
      </c>
    </row>
    <row r="129" spans="1:13">
      <c r="A129" t="s">
        <v>126</v>
      </c>
      <c r="C129" t="str">
        <f t="shared" si="6"/>
        <v xml:space="preserve">    131 </v>
      </c>
      <c r="D129" t="str">
        <f t="shared" si="5"/>
        <v>Vanille-FEOK-FF13</v>
      </c>
      <c r="G129">
        <f t="shared" si="8"/>
        <v>130</v>
      </c>
      <c r="H129" t="s">
        <v>1001</v>
      </c>
      <c r="I129" t="str">
        <f t="shared" si="7"/>
        <v xml:space="preserve">    130 : "arthur-p",</v>
      </c>
      <c r="J129" t="s">
        <v>387</v>
      </c>
      <c r="K129">
        <v>136</v>
      </c>
    </row>
    <row r="130" spans="1:13">
      <c r="A130" t="s">
        <v>127</v>
      </c>
      <c r="C130" t="str">
        <f t="shared" si="6"/>
        <v xml:space="preserve">    132 </v>
      </c>
      <c r="D130" t="str">
        <f t="shared" si="5"/>
        <v>Vivi-PocoLoco-FF9</v>
      </c>
      <c r="G130">
        <f t="shared" si="8"/>
        <v>131</v>
      </c>
      <c r="H130" t="s">
        <v>1002</v>
      </c>
      <c r="I130" t="str">
        <f t="shared" si="7"/>
        <v xml:space="preserve">    131 : "arvis-p",</v>
      </c>
      <c r="J130" t="s">
        <v>388</v>
      </c>
      <c r="K130">
        <v>137</v>
      </c>
    </row>
    <row r="131" spans="1:13">
      <c r="A131" t="s">
        <v>128</v>
      </c>
      <c r="C131" t="str">
        <f t="shared" si="6"/>
        <v xml:space="preserve">    133 </v>
      </c>
      <c r="D131" t="str">
        <f t="shared" si="5"/>
        <v>White Mage-Matthew50-FF</v>
      </c>
      <c r="G131">
        <f t="shared" si="8"/>
        <v>132</v>
      </c>
      <c r="H131" t="s">
        <v>1003</v>
      </c>
      <c r="I131" t="str">
        <f t="shared" si="7"/>
        <v xml:space="preserve">    132 : "ashe-p",</v>
      </c>
      <c r="J131" t="s">
        <v>389</v>
      </c>
      <c r="K131">
        <v>138</v>
      </c>
    </row>
    <row r="132" spans="1:13">
      <c r="A132" t="s">
        <v>129</v>
      </c>
      <c r="C132" t="str">
        <f t="shared" si="6"/>
        <v xml:space="preserve">    134 </v>
      </c>
      <c r="D132" t="str">
        <f t="shared" si="5"/>
        <v>Yang-SApprentice-FF4</v>
      </c>
      <c r="G132">
        <f t="shared" si="8"/>
        <v>133</v>
      </c>
      <c r="H132" t="s">
        <v>1004</v>
      </c>
      <c r="I132" t="str">
        <f t="shared" si="7"/>
        <v xml:space="preserve">    133 : "astronaut-p",</v>
      </c>
      <c r="J132" t="s">
        <v>390</v>
      </c>
      <c r="K132">
        <v>139</v>
      </c>
    </row>
    <row r="133" spans="1:13">
      <c r="A133" t="s">
        <v>130</v>
      </c>
      <c r="C133" t="str">
        <f t="shared" si="6"/>
        <v xml:space="preserve">    135 </v>
      </c>
      <c r="D133" t="str">
        <f t="shared" si="5"/>
        <v>Yuffie-HoxNorf-FF7</v>
      </c>
      <c r="G133">
        <f t="shared" si="8"/>
        <v>134</v>
      </c>
      <c r="H133" t="s">
        <v>1005</v>
      </c>
      <c r="I133" t="str">
        <f t="shared" si="7"/>
        <v xml:space="preserve">    134 : "atma-p",</v>
      </c>
      <c r="J133" t="s">
        <v>391</v>
      </c>
      <c r="K133">
        <v>140</v>
      </c>
    </row>
    <row r="134" spans="1:13">
      <c r="A134" t="s">
        <v>131</v>
      </c>
      <c r="C134" t="str">
        <f t="shared" si="6"/>
        <v xml:space="preserve">    136 </v>
      </c>
      <c r="D134" t="str">
        <f t="shared" si="5"/>
        <v>Zack-CtrlxZ-FF7</v>
      </c>
      <c r="G134">
        <f t="shared" si="8"/>
        <v>135</v>
      </c>
      <c r="H134" t="s">
        <v>1006</v>
      </c>
      <c r="I134" t="str">
        <f t="shared" si="7"/>
        <v xml:space="preserve">    135 : "auron-p",</v>
      </c>
      <c r="J134" t="s">
        <v>392</v>
      </c>
      <c r="K134">
        <v>141</v>
      </c>
    </row>
    <row r="135" spans="1:13">
      <c r="A135" t="s">
        <v>132</v>
      </c>
      <c r="C135" t="str">
        <f t="shared" si="6"/>
        <v xml:space="preserve">    137 </v>
      </c>
      <c r="D135" t="str">
        <f t="shared" si="5"/>
        <v>Zidane-HoxNorf-FF9</v>
      </c>
      <c r="G135">
        <f t="shared" si="8"/>
        <v>136</v>
      </c>
      <c r="H135" t="s">
        <v>1007</v>
      </c>
      <c r="I135" t="str">
        <f t="shared" si="7"/>
        <v xml:space="preserve">    136 : "axel-p",</v>
      </c>
      <c r="J135" t="s">
        <v>393</v>
      </c>
      <c r="K135">
        <v>142</v>
      </c>
    </row>
    <row r="136" spans="1:13">
      <c r="A136" t="s">
        <v>133</v>
      </c>
      <c r="C136" t="str">
        <f t="shared" si="6"/>
        <v xml:space="preserve">    138 </v>
      </c>
      <c r="D136" t="str">
        <f t="shared" si="5"/>
        <v>Kuja-HoxNorf-FF9</v>
      </c>
      <c r="G136">
        <f t="shared" si="8"/>
        <v>137</v>
      </c>
      <c r="H136" t="s">
        <v>1008</v>
      </c>
      <c r="I136" t="str">
        <f t="shared" si="7"/>
        <v xml:space="preserve">    137 : "ayla-p",</v>
      </c>
      <c r="J136" t="s">
        <v>394</v>
      </c>
      <c r="K136">
        <v>143</v>
      </c>
    </row>
    <row r="137" spans="1:13">
      <c r="A137" t="s">
        <v>134</v>
      </c>
      <c r="C137" t="str">
        <f t="shared" si="6"/>
        <v xml:space="preserve">    139 </v>
      </c>
      <c r="D137" t="str">
        <f t="shared" si="5"/>
        <v>Reimu-HoxNorf-Touhou</v>
      </c>
      <c r="G137">
        <f t="shared" si="8"/>
        <v>138</v>
      </c>
      <c r="H137" t="s">
        <v>1009</v>
      </c>
      <c r="I137" t="str">
        <f t="shared" si="7"/>
        <v xml:space="preserve">    138 : "baby-p",</v>
      </c>
      <c r="J137" t="s">
        <v>395</v>
      </c>
      <c r="K137">
        <v>144</v>
      </c>
    </row>
    <row r="138" spans="1:13">
      <c r="A138" t="s">
        <v>135</v>
      </c>
      <c r="C138" t="str">
        <f t="shared" si="6"/>
        <v xml:space="preserve">    140 </v>
      </c>
      <c r="D138" t="str">
        <f t="shared" si="5"/>
        <v>Ram-HoxNorf-Neptunia</v>
      </c>
      <c r="G138">
        <f t="shared" si="8"/>
        <v>139</v>
      </c>
      <c r="H138" t="s">
        <v>1010</v>
      </c>
      <c r="I138" t="str">
        <f t="shared" si="7"/>
        <v xml:space="preserve">    139 : "baku-p",</v>
      </c>
      <c r="J138" t="s">
        <v>396</v>
      </c>
      <c r="K138">
        <v>145</v>
      </c>
    </row>
    <row r="139" spans="1:13">
      <c r="A139" t="s">
        <v>136</v>
      </c>
      <c r="C139" t="str">
        <f t="shared" si="6"/>
        <v xml:space="preserve">    141 </v>
      </c>
      <c r="D139" t="str">
        <f t="shared" si="5"/>
        <v>Rom-HoxNorf-Neptunia</v>
      </c>
      <c r="G139">
        <f t="shared" si="8"/>
        <v>140</v>
      </c>
      <c r="H139" t="s">
        <v>1011</v>
      </c>
      <c r="I139" t="str">
        <f t="shared" si="7"/>
        <v xml:space="preserve">    140 : "balthier-p",</v>
      </c>
      <c r="J139" t="s">
        <v>397</v>
      </c>
      <c r="K139">
        <v>146</v>
      </c>
    </row>
    <row r="140" spans="1:13">
      <c r="A140" t="s">
        <v>137</v>
      </c>
      <c r="C140" t="str">
        <f t="shared" si="6"/>
        <v xml:space="preserve">    142 </v>
      </c>
      <c r="D140" t="str">
        <f t="shared" si="5"/>
        <v>Umaro (Morph)-CDude-FF6</v>
      </c>
      <c r="G140">
        <f t="shared" si="8"/>
        <v>141</v>
      </c>
      <c r="H140" t="s">
        <v>1012</v>
      </c>
      <c r="I140" t="str">
        <f t="shared" si="7"/>
        <v xml:space="preserve">    141 : "bananon-p",</v>
      </c>
      <c r="J140" t="s">
        <v>398</v>
      </c>
      <c r="K140">
        <v>147</v>
      </c>
    </row>
    <row r="141" spans="1:13">
      <c r="A141" t="s">
        <v>138</v>
      </c>
      <c r="C141" t="str">
        <f t="shared" si="6"/>
        <v xml:space="preserve">    143 </v>
      </c>
      <c r="D141" t="str">
        <f t="shared" si="5"/>
        <v>Sarisa-HoxNorf-FF5</v>
      </c>
      <c r="G141">
        <f t="shared" si="8"/>
        <v>142</v>
      </c>
      <c r="H141" t="s">
        <v>1013</v>
      </c>
      <c r="I141" t="str">
        <f t="shared" si="7"/>
        <v xml:space="preserve">    142 : "bandit-p",</v>
      </c>
      <c r="J141" t="s">
        <v>399</v>
      </c>
      <c r="K141">
        <v>148</v>
      </c>
    </row>
    <row r="142" spans="1:13">
      <c r="A142" t="s">
        <v>139</v>
      </c>
      <c r="C142" t="str">
        <f t="shared" si="6"/>
        <v xml:space="preserve">    144 </v>
      </c>
      <c r="D142" t="str">
        <f t="shared" si="5"/>
        <v>Lilith-HoxNorf-Darkstalkers</v>
      </c>
      <c r="G142">
        <f t="shared" si="8"/>
        <v>143</v>
      </c>
      <c r="H142" t="s">
        <v>1014</v>
      </c>
      <c r="I142" t="str">
        <f t="shared" si="7"/>
        <v xml:space="preserve">    143 : "bangaa-p",</v>
      </c>
      <c r="J142" t="s">
        <v>1492</v>
      </c>
      <c r="K142">
        <v>149</v>
      </c>
    </row>
    <row r="143" spans="1:13">
      <c r="A143" t="s">
        <v>140</v>
      </c>
      <c r="C143" t="str">
        <f t="shared" si="6"/>
        <v xml:space="preserve">    145 </v>
      </c>
      <c r="D143" t="str">
        <f t="shared" si="5"/>
        <v>Marisa-HoxNorf-Touhou</v>
      </c>
      <c r="G143">
        <f t="shared" si="8"/>
        <v>144</v>
      </c>
      <c r="H143" t="s">
        <v>1015</v>
      </c>
      <c r="I143" t="str">
        <f t="shared" si="7"/>
        <v xml:space="preserve">    144 : "banjokazooie-p",</v>
      </c>
    </row>
    <row r="144" spans="1:13">
      <c r="A144" t="s">
        <v>141</v>
      </c>
      <c r="C144" t="str">
        <f t="shared" si="6"/>
        <v xml:space="preserve">    147 </v>
      </c>
      <c r="D144" t="str">
        <f t="shared" si="5"/>
        <v>Rumia-HoxNorf-Touhou</v>
      </c>
      <c r="G144">
        <f t="shared" si="8"/>
        <v>145</v>
      </c>
      <c r="H144" t="s">
        <v>1016</v>
      </c>
      <c r="I144" t="str">
        <f t="shared" si="7"/>
        <v xml:space="preserve">    145 : "barbariccia-p",</v>
      </c>
      <c r="J144" t="s">
        <v>156</v>
      </c>
      <c r="K144">
        <v>150</v>
      </c>
      <c r="L144" t="s">
        <v>1546</v>
      </c>
      <c r="M144" t="str">
        <f>K144&amp;" : """&amp;L144&amp;""", "</f>
        <v xml:space="preserve">150 : "CrateWIP", </v>
      </c>
    </row>
    <row r="145" spans="1:13">
      <c r="A145" t="s">
        <v>142</v>
      </c>
      <c r="C145" t="str">
        <f t="shared" si="6"/>
        <v xml:space="preserve">    146 </v>
      </c>
      <c r="D145" t="str">
        <f t="shared" si="5"/>
        <v>Papyrus-LoneRedMage-Undertale</v>
      </c>
      <c r="G145">
        <f t="shared" si="8"/>
        <v>146</v>
      </c>
      <c r="H145" t="s">
        <v>1017</v>
      </c>
      <c r="I145" t="str">
        <f t="shared" si="7"/>
        <v xml:space="preserve">    146 : "barret-p",</v>
      </c>
      <c r="K145">
        <f>K144+1</f>
        <v>151</v>
      </c>
      <c r="L145" t="s">
        <v>1694</v>
      </c>
      <c r="M145" t="str">
        <f t="shared" ref="M145:M185" si="9">K145&amp;" : """&amp;L145&amp;""", "</f>
        <v xml:space="preserve">151 : "Antlion-Astaroth-FF4", </v>
      </c>
    </row>
    <row r="146" spans="1:13">
      <c r="A146" t="s">
        <v>143</v>
      </c>
      <c r="C146" t="str">
        <f t="shared" si="6"/>
        <v xml:space="preserve">    148 </v>
      </c>
      <c r="D146" t="str">
        <f t="shared" si="5"/>
        <v>Sans-LoneRedMage-Undertale</v>
      </c>
      <c r="G146">
        <f t="shared" si="8"/>
        <v>147</v>
      </c>
      <c r="H146" t="s">
        <v>1018</v>
      </c>
      <c r="I146" t="str">
        <f t="shared" si="7"/>
        <v xml:space="preserve">    147 : "barthello-p",</v>
      </c>
      <c r="K146">
        <f t="shared" ref="K146:K185" si="10">K145+1</f>
        <v>152</v>
      </c>
      <c r="L146" t="s">
        <v>1695</v>
      </c>
      <c r="M146" t="str">
        <f t="shared" si="9"/>
        <v xml:space="preserve">152 : "Arvis-PocoLoco-FF6", </v>
      </c>
    </row>
    <row r="147" spans="1:13">
      <c r="A147" t="s">
        <v>144</v>
      </c>
      <c r="C147" t="str">
        <f t="shared" si="6"/>
        <v xml:space="preserve">    149 </v>
      </c>
      <c r="D147" t="str">
        <f t="shared" si="5"/>
        <v>Toadette-HoxNorf-Mario</v>
      </c>
      <c r="G147">
        <f t="shared" si="8"/>
        <v>148</v>
      </c>
      <c r="H147" t="s">
        <v>1019</v>
      </c>
      <c r="I147" t="str">
        <f t="shared" si="7"/>
        <v xml:space="preserve">    148 : "bartz-p",</v>
      </c>
      <c r="K147">
        <f t="shared" si="10"/>
        <v>153</v>
      </c>
      <c r="L147" t="s">
        <v>1696</v>
      </c>
      <c r="M147" t="str">
        <f t="shared" si="9"/>
        <v xml:space="preserve">153 : "Atma-Astaroth-FF6", </v>
      </c>
    </row>
    <row r="148" spans="1:13">
      <c r="A148" t="s">
        <v>145</v>
      </c>
      <c r="C148" t="str">
        <f t="shared" si="6"/>
        <v xml:space="preserve">    150 </v>
      </c>
      <c r="D148" t="str">
        <f t="shared" si="5"/>
        <v>Talim-HoxNorf-SC4</v>
      </c>
      <c r="G148">
        <f t="shared" si="8"/>
        <v>149</v>
      </c>
      <c r="H148" t="s">
        <v>1020</v>
      </c>
      <c r="I148" t="str">
        <f t="shared" si="7"/>
        <v xml:space="preserve">    149 : "basch-p",</v>
      </c>
      <c r="K148">
        <f t="shared" si="10"/>
        <v>154</v>
      </c>
      <c r="L148" t="s">
        <v>1697</v>
      </c>
      <c r="M148" t="str">
        <f t="shared" si="9"/>
        <v xml:space="preserve">154 : "Beatrix-PocoLoco-FF9", </v>
      </c>
    </row>
    <row r="149" spans="1:13">
      <c r="A149" t="s">
        <v>146</v>
      </c>
      <c r="C149" t="str">
        <f t="shared" si="6"/>
        <v xml:space="preserve">    151 </v>
      </c>
      <c r="D149" t="str">
        <f t="shared" si="5"/>
        <v>Katt-ATinySpook-BOF2</v>
      </c>
      <c r="G149">
        <f t="shared" si="8"/>
        <v>150</v>
      </c>
      <c r="H149" t="s">
        <v>1021</v>
      </c>
      <c r="I149" t="str">
        <f t="shared" si="7"/>
        <v xml:space="preserve">    150 : "batman-p",</v>
      </c>
      <c r="K149">
        <f t="shared" si="10"/>
        <v>155</v>
      </c>
      <c r="L149" t="s">
        <v>1698</v>
      </c>
      <c r="M149" t="str">
        <f t="shared" si="9"/>
        <v xml:space="preserve">155 : "Boy-Zozma-FF6", </v>
      </c>
    </row>
    <row r="150" spans="1:13">
      <c r="A150" t="s">
        <v>147</v>
      </c>
      <c r="C150" t="str">
        <f t="shared" si="6"/>
        <v xml:space="preserve">    152 </v>
      </c>
      <c r="D150" t="str">
        <f t="shared" si="5"/>
        <v>Steve-PheonixMMKC777-Minecraft</v>
      </c>
      <c r="G150">
        <f t="shared" si="8"/>
        <v>151</v>
      </c>
      <c r="H150" t="s">
        <v>1022</v>
      </c>
      <c r="I150" t="str">
        <f t="shared" si="7"/>
        <v xml:space="preserve">    151 : "beatrix-p",</v>
      </c>
      <c r="K150">
        <f t="shared" si="10"/>
        <v>156</v>
      </c>
      <c r="L150" t="s">
        <v>1699</v>
      </c>
      <c r="M150" t="str">
        <f t="shared" si="9"/>
        <v xml:space="preserve">156 : "Cagnazzo-Astaroth-FF4", </v>
      </c>
    </row>
    <row r="151" spans="1:13">
      <c r="A151" t="s">
        <v>148</v>
      </c>
      <c r="C151" t="str">
        <f t="shared" si="6"/>
        <v xml:space="preserve">    153 </v>
      </c>
      <c r="D151" t="str">
        <f t="shared" si="5"/>
        <v>Tonberry King-CDude-FF</v>
      </c>
      <c r="G151">
        <f t="shared" si="8"/>
        <v>152</v>
      </c>
      <c r="H151" t="s">
        <v>1023</v>
      </c>
      <c r="I151" t="str">
        <f t="shared" si="7"/>
        <v xml:space="preserve">    152 : "beaver-p",</v>
      </c>
      <c r="K151">
        <f t="shared" si="10"/>
        <v>157</v>
      </c>
      <c r="L151" t="s">
        <v>1700</v>
      </c>
      <c r="M151" t="str">
        <f t="shared" si="9"/>
        <v xml:space="preserve">157 : "Celes (Amano)-Astaroth-FF6", </v>
      </c>
    </row>
    <row r="152" spans="1:13">
      <c r="A152" t="s">
        <v>149</v>
      </c>
      <c r="C152" t="str">
        <f t="shared" si="6"/>
        <v xml:space="preserve">    154 </v>
      </c>
      <c r="D152" t="str">
        <f t="shared" si="5"/>
        <v>Banjo Kazooie-HoxNorf-BK</v>
      </c>
      <c r="G152">
        <f t="shared" si="8"/>
        <v>153</v>
      </c>
      <c r="H152" t="s">
        <v>1024</v>
      </c>
      <c r="I152" t="str">
        <f t="shared" si="7"/>
        <v xml:space="preserve">    153 : "berserker-p",</v>
      </c>
      <c r="K152">
        <f t="shared" si="10"/>
        <v>158</v>
      </c>
      <c r="L152" t="s">
        <v>1701</v>
      </c>
      <c r="M152" t="str">
        <f t="shared" si="9"/>
        <v xml:space="preserve">158 : "Celes (Opera)-Astaroth-FF6", </v>
      </c>
    </row>
    <row r="153" spans="1:13">
      <c r="A153" t="s">
        <v>150</v>
      </c>
      <c r="C153" t="str">
        <f t="shared" si="6"/>
        <v xml:space="preserve">    155 </v>
      </c>
      <c r="D153" t="str">
        <f t="shared" si="5"/>
        <v>PajaMog-CDude-FF</v>
      </c>
      <c r="G153">
        <f t="shared" si="8"/>
        <v>154</v>
      </c>
      <c r="H153" t="s">
        <v>1025</v>
      </c>
      <c r="I153" t="str">
        <f t="shared" si="7"/>
        <v xml:space="preserve">    154 : "biggs7-p",</v>
      </c>
      <c r="K153">
        <f t="shared" si="10"/>
        <v>159</v>
      </c>
      <c r="L153" t="s">
        <v>1702</v>
      </c>
      <c r="M153" t="str">
        <f t="shared" si="9"/>
        <v xml:space="preserve">159 : "Clyde-PocoLoco-FF6", </v>
      </c>
    </row>
    <row r="154" spans="1:13">
      <c r="A154" t="s">
        <v>151</v>
      </c>
      <c r="C154" t="str">
        <f t="shared" si="6"/>
        <v xml:space="preserve">    156 </v>
      </c>
      <c r="D154" t="str">
        <f t="shared" si="5"/>
        <v>GrimLocke-Taloswind-FF6</v>
      </c>
      <c r="G154">
        <f t="shared" si="8"/>
        <v>155</v>
      </c>
      <c r="H154" t="s">
        <v>1026</v>
      </c>
      <c r="I154" t="str">
        <f t="shared" si="7"/>
        <v xml:space="preserve">    155 : "bird-p",</v>
      </c>
      <c r="K154">
        <f t="shared" si="10"/>
        <v>160</v>
      </c>
      <c r="L154" t="s">
        <v>1703</v>
      </c>
      <c r="M154" t="str">
        <f t="shared" si="9"/>
        <v xml:space="preserve">160 : "Cultist-PocoLoco-FF6", </v>
      </c>
    </row>
    <row r="155" spans="1:13">
      <c r="A155" t="s">
        <v>152</v>
      </c>
      <c r="C155" t="str">
        <f t="shared" si="6"/>
        <v xml:space="preserve">    157 </v>
      </c>
      <c r="D155" t="str">
        <f t="shared" si="5"/>
        <v>Emperor-HoxNorf-FF2</v>
      </c>
      <c r="G155">
        <f t="shared" si="8"/>
        <v>156</v>
      </c>
      <c r="H155" t="s">
        <v>1027</v>
      </c>
      <c r="I155" t="str">
        <f t="shared" si="7"/>
        <v xml:space="preserve">    156 : "blackmage-f-p",</v>
      </c>
      <c r="K155">
        <f t="shared" si="10"/>
        <v>161</v>
      </c>
      <c r="L155" t="s">
        <v>1704</v>
      </c>
      <c r="M155" t="str">
        <f t="shared" si="9"/>
        <v xml:space="preserve">161 : "Dancer-PocoLoco-FF6", </v>
      </c>
    </row>
    <row r="156" spans="1:13">
      <c r="A156" t="s">
        <v>153</v>
      </c>
      <c r="C156" t="str">
        <f t="shared" si="6"/>
        <v xml:space="preserve">    158 </v>
      </c>
      <c r="D156" t="str">
        <f t="shared" ref="D156:D158" si="11">MID(A156,FIND(":",A156,1)+3,LEN(A156)-FIND(":",A156,1)-4)</f>
        <v>Chen-HoxNorf-Touhou</v>
      </c>
      <c r="G156">
        <f t="shared" si="8"/>
        <v>157</v>
      </c>
      <c r="H156" t="s">
        <v>1028</v>
      </c>
      <c r="I156" t="str">
        <f t="shared" si="7"/>
        <v xml:space="preserve">    157 : "blackmage-magus-p",</v>
      </c>
      <c r="K156">
        <f t="shared" si="10"/>
        <v>162</v>
      </c>
      <c r="L156" t="s">
        <v>1705</v>
      </c>
      <c r="M156" t="str">
        <f t="shared" si="9"/>
        <v xml:space="preserve">162 : "Dark Elf-Astaroth-FF4", </v>
      </c>
    </row>
    <row r="157" spans="1:13">
      <c r="A157" t="s">
        <v>154</v>
      </c>
      <c r="C157" t="str">
        <f t="shared" ref="C157:C158" si="12">MID(A157,1,FIND(":",A157,1)-1)</f>
        <v xml:space="preserve">    159 </v>
      </c>
      <c r="D157" t="str">
        <f t="shared" si="11"/>
        <v>Selphie-HoxNorf-FF8</v>
      </c>
      <c r="G157">
        <f t="shared" si="8"/>
        <v>158</v>
      </c>
      <c r="H157" t="s">
        <v>1029</v>
      </c>
      <c r="I157" t="str">
        <f t="shared" si="7"/>
        <v xml:space="preserve">    158 : "blackmage-p",</v>
      </c>
      <c r="K157">
        <f t="shared" si="10"/>
        <v>163</v>
      </c>
      <c r="L157" t="s">
        <v>1706</v>
      </c>
      <c r="M157" t="str">
        <f t="shared" si="9"/>
        <v xml:space="preserve">163 : "Draco-PocoLoco-FF6", </v>
      </c>
    </row>
    <row r="158" spans="1:13">
      <c r="A158" t="s">
        <v>155</v>
      </c>
      <c r="C158" t="str">
        <f t="shared" si="12"/>
        <v xml:space="preserve">    160 </v>
      </c>
      <c r="D158" t="str">
        <f t="shared" si="11"/>
        <v>Sora-HoxNorf-KH</v>
      </c>
      <c r="G158">
        <f t="shared" si="8"/>
        <v>159</v>
      </c>
      <c r="H158" t="s">
        <v>1030</v>
      </c>
      <c r="I158" t="str">
        <f t="shared" si="7"/>
        <v xml:space="preserve">    159 : "blanc-p",</v>
      </c>
      <c r="K158">
        <f t="shared" si="10"/>
        <v>164</v>
      </c>
      <c r="L158" t="s">
        <v>1707</v>
      </c>
      <c r="M158" t="str">
        <f t="shared" si="9"/>
        <v xml:space="preserve">164 : "Elena-Astaroth-FF7", </v>
      </c>
    </row>
    <row r="159" spans="1:13">
      <c r="C159">
        <v>161</v>
      </c>
      <c r="D159" t="s">
        <v>401</v>
      </c>
      <c r="E159" t="str">
        <f>"    "&amp;C159&amp;" : """&amp;D159&amp;""","</f>
        <v xml:space="preserve">    161 : "Cid-DoubleDown-FF6",</v>
      </c>
      <c r="F159">
        <f>C159</f>
        <v>161</v>
      </c>
      <c r="G159">
        <f t="shared" si="8"/>
        <v>160</v>
      </c>
      <c r="H159" t="s">
        <v>1031</v>
      </c>
      <c r="I159" t="str">
        <f t="shared" si="7"/>
        <v xml:space="preserve">    160 : "blank-p",</v>
      </c>
      <c r="K159">
        <f t="shared" si="10"/>
        <v>165</v>
      </c>
      <c r="L159" t="s">
        <v>1708</v>
      </c>
      <c r="M159" t="str">
        <f t="shared" si="9"/>
        <v xml:space="preserve">165 : "Figaro Guard-PocoLoco-FF6", </v>
      </c>
    </row>
    <row r="160" spans="1:13">
      <c r="C160">
        <f>C159+1</f>
        <v>162</v>
      </c>
      <c r="D160" t="s">
        <v>403</v>
      </c>
      <c r="E160" t="str">
        <f t="shared" ref="E160:E223" si="13">"    "&amp;C160&amp;" : """&amp;D160&amp;""","</f>
        <v xml:space="preserve">    162 : "3tweight",</v>
      </c>
      <c r="F160">
        <f t="shared" ref="F160:F223" si="14">C160</f>
        <v>162</v>
      </c>
      <c r="G160">
        <f t="shared" si="8"/>
        <v>161</v>
      </c>
      <c r="H160" t="s">
        <v>1032</v>
      </c>
      <c r="I160" t="str">
        <f t="shared" ref="I160:I223" si="15">"    "&amp;G160&amp;" : """&amp;H160&amp;""","</f>
        <v xml:space="preserve">    161 : "blaze-p",</v>
      </c>
      <c r="K160">
        <f t="shared" si="10"/>
        <v>166</v>
      </c>
      <c r="L160" t="s">
        <v>1709</v>
      </c>
      <c r="M160" t="str">
        <f t="shared" si="9"/>
        <v xml:space="preserve">166 : "Granny-Zozma-FF6", </v>
      </c>
    </row>
    <row r="161" spans="3:13">
      <c r="C161">
        <f t="shared" ref="C161:C224" si="16">C160+1</f>
        <v>163</v>
      </c>
      <c r="D161" t="s">
        <v>404</v>
      </c>
      <c r="E161" t="str">
        <f t="shared" si="13"/>
        <v xml:space="preserve">    163 : "aerith-child",</v>
      </c>
      <c r="F161">
        <f t="shared" si="14"/>
        <v>163</v>
      </c>
      <c r="G161">
        <f t="shared" si="8"/>
        <v>162</v>
      </c>
      <c r="H161" t="s">
        <v>1033</v>
      </c>
      <c r="I161" t="str">
        <f t="shared" si="15"/>
        <v xml:space="preserve">    162 : "bomb-p",</v>
      </c>
      <c r="K161">
        <f t="shared" si="10"/>
        <v>167</v>
      </c>
      <c r="L161" t="s">
        <v>1710</v>
      </c>
      <c r="M161" t="str">
        <f t="shared" si="9"/>
        <v xml:space="preserve">167 : "Hojo-LoneRedMage-FF7", </v>
      </c>
    </row>
    <row r="162" spans="3:13">
      <c r="C162">
        <f t="shared" si="16"/>
        <v>164</v>
      </c>
      <c r="D162" t="s">
        <v>405</v>
      </c>
      <c r="E162" t="str">
        <f t="shared" si="13"/>
        <v xml:space="preserve">    164 : "aerith-dress",</v>
      </c>
      <c r="F162">
        <f t="shared" si="14"/>
        <v>164</v>
      </c>
      <c r="G162">
        <f t="shared" si="8"/>
        <v>163</v>
      </c>
      <c r="H162" t="s">
        <v>1034</v>
      </c>
      <c r="I162" t="str">
        <f t="shared" si="15"/>
        <v xml:space="preserve">    163 : "bomberman-p",</v>
      </c>
      <c r="K162">
        <f t="shared" si="10"/>
        <v>168</v>
      </c>
      <c r="L162" t="s">
        <v>1711</v>
      </c>
      <c r="M162" t="str">
        <f t="shared" si="9"/>
        <v xml:space="preserve">168 : "Lady-Zozma-FF6", </v>
      </c>
    </row>
    <row r="163" spans="3:13">
      <c r="C163">
        <f t="shared" si="16"/>
        <v>165</v>
      </c>
      <c r="D163" t="s">
        <v>406</v>
      </c>
      <c r="E163" t="str">
        <f t="shared" si="13"/>
        <v xml:space="preserve">    165 : "aerith",</v>
      </c>
      <c r="F163">
        <f t="shared" si="14"/>
        <v>165</v>
      </c>
      <c r="G163">
        <f t="shared" si="8"/>
        <v>164</v>
      </c>
      <c r="H163" t="s">
        <v>1035</v>
      </c>
      <c r="I163" t="str">
        <f t="shared" si="15"/>
        <v xml:space="preserve">    164 : "bombette-p",</v>
      </c>
      <c r="K163">
        <f t="shared" si="10"/>
        <v>169</v>
      </c>
      <c r="L163" t="s">
        <v>1712</v>
      </c>
      <c r="M163" t="str">
        <f t="shared" si="9"/>
        <v xml:space="preserve">169 : "Link-FEOK-LegendOfZelda", </v>
      </c>
    </row>
    <row r="164" spans="3:13">
      <c r="C164">
        <f t="shared" si="16"/>
        <v>166</v>
      </c>
      <c r="D164" t="s">
        <v>407</v>
      </c>
      <c r="E164" t="str">
        <f t="shared" si="13"/>
        <v xml:space="preserve">    166 : "agrias",</v>
      </c>
      <c r="F164">
        <f t="shared" si="14"/>
        <v>166</v>
      </c>
      <c r="G164">
        <f t="shared" si="8"/>
        <v>165</v>
      </c>
      <c r="H164" t="s">
        <v>1036</v>
      </c>
      <c r="I164" t="str">
        <f t="shared" si="15"/>
        <v xml:space="preserve">    165 : "borghen-p",</v>
      </c>
      <c r="K164">
        <f t="shared" si="10"/>
        <v>170</v>
      </c>
      <c r="L164" t="s">
        <v>1713</v>
      </c>
      <c r="M164" t="str">
        <f t="shared" si="9"/>
        <v xml:space="preserve">170 : "LoneWolf-PocoLoco-FF6", </v>
      </c>
    </row>
    <row r="165" spans="3:13">
      <c r="C165">
        <f t="shared" si="16"/>
        <v>167</v>
      </c>
      <c r="D165" t="s">
        <v>408</v>
      </c>
      <c r="E165" t="str">
        <f t="shared" si="13"/>
        <v xml:space="preserve">    167 : "akari",</v>
      </c>
      <c r="F165">
        <f t="shared" si="14"/>
        <v>167</v>
      </c>
      <c r="G165">
        <f t="shared" si="8"/>
        <v>166</v>
      </c>
      <c r="H165" t="s">
        <v>1037</v>
      </c>
      <c r="I165" t="str">
        <f t="shared" si="15"/>
        <v xml:space="preserve">    166 : "bowser-p",</v>
      </c>
      <c r="K165">
        <f t="shared" si="10"/>
        <v>171</v>
      </c>
      <c r="L165" t="s">
        <v>1714</v>
      </c>
      <c r="M165" t="str">
        <f t="shared" si="9"/>
        <v xml:space="preserve">171 : "Lucca-FEOK-CT", </v>
      </c>
    </row>
    <row r="166" spans="3:13">
      <c r="C166">
        <f t="shared" si="16"/>
        <v>168</v>
      </c>
      <c r="D166" t="s">
        <v>409</v>
      </c>
      <c r="E166" t="str">
        <f t="shared" si="13"/>
        <v xml:space="preserve">    168 : "alarmclock",</v>
      </c>
      <c r="F166">
        <f t="shared" si="14"/>
        <v>168</v>
      </c>
      <c r="G166">
        <f t="shared" si="8"/>
        <v>167</v>
      </c>
      <c r="H166" t="s">
        <v>1038</v>
      </c>
      <c r="I166" t="str">
        <f t="shared" si="15"/>
        <v xml:space="preserve">    167 : "bowserjr-p",</v>
      </c>
      <c r="K166">
        <f t="shared" si="10"/>
        <v>172</v>
      </c>
      <c r="L166" t="s">
        <v>1715</v>
      </c>
      <c r="M166" t="str">
        <f t="shared" si="9"/>
        <v xml:space="preserve">172 : "Lufia-JamesWhite89-Lufia", </v>
      </c>
    </row>
    <row r="167" spans="3:13">
      <c r="C167">
        <f t="shared" si="16"/>
        <v>169</v>
      </c>
      <c r="D167" t="s">
        <v>410</v>
      </c>
      <c r="E167" t="str">
        <f t="shared" si="13"/>
        <v xml:space="preserve">    169 : "algus",</v>
      </c>
      <c r="F167">
        <f t="shared" si="14"/>
        <v>169</v>
      </c>
      <c r="G167">
        <f t="shared" si="8"/>
        <v>168</v>
      </c>
      <c r="H167" t="s">
        <v>1039</v>
      </c>
      <c r="I167" t="str">
        <f t="shared" si="15"/>
        <v xml:space="preserve">    168 : "boy-p",</v>
      </c>
      <c r="K167">
        <f t="shared" si="10"/>
        <v>173</v>
      </c>
      <c r="L167" t="s">
        <v>1716</v>
      </c>
      <c r="M167" t="str">
        <f t="shared" si="9"/>
        <v xml:space="preserve">173 : "Luigi-Badass-Mario", </v>
      </c>
    </row>
    <row r="168" spans="3:13">
      <c r="C168">
        <f t="shared" si="16"/>
        <v>170</v>
      </c>
      <c r="D168" t="s">
        <v>411</v>
      </c>
      <c r="E168" t="str">
        <f t="shared" si="13"/>
        <v xml:space="preserve">    170 : "alma",</v>
      </c>
      <c r="F168">
        <f t="shared" si="14"/>
        <v>170</v>
      </c>
      <c r="G168">
        <f t="shared" si="8"/>
        <v>169</v>
      </c>
      <c r="H168" t="s">
        <v>1040</v>
      </c>
      <c r="I168" t="str">
        <f t="shared" si="15"/>
        <v xml:space="preserve">    169 : "bubbledragon-p",</v>
      </c>
      <c r="K168">
        <f t="shared" si="10"/>
        <v>174</v>
      </c>
      <c r="L168" t="s">
        <v>1717</v>
      </c>
      <c r="M168" t="str">
        <f t="shared" si="9"/>
        <v xml:space="preserve">174 : "Maduin-PocoLoco-FF6", </v>
      </c>
    </row>
    <row r="169" spans="3:13">
      <c r="C169">
        <f t="shared" si="16"/>
        <v>171</v>
      </c>
      <c r="D169" t="s">
        <v>412</v>
      </c>
      <c r="E169" t="str">
        <f t="shared" si="13"/>
        <v xml:space="preserve">    171 : "alphys",</v>
      </c>
      <c r="F169">
        <f t="shared" si="14"/>
        <v>171</v>
      </c>
      <c r="G169">
        <f t="shared" si="8"/>
        <v>170</v>
      </c>
      <c r="H169" t="s">
        <v>1041</v>
      </c>
      <c r="I169" t="str">
        <f t="shared" si="15"/>
        <v xml:space="preserve">    170 : "bucket-p",</v>
      </c>
      <c r="K169">
        <f t="shared" si="10"/>
        <v>175</v>
      </c>
      <c r="L169" t="s">
        <v>1718</v>
      </c>
      <c r="M169" t="str">
        <f t="shared" si="9"/>
        <v xml:space="preserve">175 : "Mario-Badass-Mario", </v>
      </c>
    </row>
    <row r="170" spans="3:13">
      <c r="C170">
        <f t="shared" si="16"/>
        <v>172</v>
      </c>
      <c r="D170" t="s">
        <v>413</v>
      </c>
      <c r="E170" t="str">
        <f t="shared" si="13"/>
        <v xml:space="preserve">    172 : "amazon-female",</v>
      </c>
      <c r="F170">
        <f t="shared" si="14"/>
        <v>172</v>
      </c>
      <c r="G170">
        <f t="shared" si="8"/>
        <v>171</v>
      </c>
      <c r="H170" t="s">
        <v>1042</v>
      </c>
      <c r="I170" t="str">
        <f t="shared" si="15"/>
        <v xml:space="preserve">    171 : "bug-p",</v>
      </c>
      <c r="K170">
        <f t="shared" si="10"/>
        <v>176</v>
      </c>
      <c r="L170" t="s">
        <v>1719</v>
      </c>
      <c r="M170" t="str">
        <f t="shared" si="9"/>
        <v xml:space="preserve">176 : "NarsheGuard-PocoLoco-FF6", </v>
      </c>
    </row>
    <row r="171" spans="3:13">
      <c r="C171">
        <f t="shared" si="16"/>
        <v>173</v>
      </c>
      <c r="D171" t="s">
        <v>414</v>
      </c>
      <c r="E171" t="str">
        <f t="shared" si="13"/>
        <v xml:space="preserve">    173 : "angeal",</v>
      </c>
      <c r="F171">
        <f t="shared" si="14"/>
        <v>173</v>
      </c>
      <c r="G171">
        <f t="shared" si="8"/>
        <v>172</v>
      </c>
      <c r="H171" t="s">
        <v>1043</v>
      </c>
      <c r="I171" t="str">
        <f t="shared" si="15"/>
        <v xml:space="preserve">    172 : "bunnylink-p",</v>
      </c>
      <c r="K171">
        <f t="shared" si="10"/>
        <v>177</v>
      </c>
      <c r="L171" t="s">
        <v>1720</v>
      </c>
      <c r="M171" t="str">
        <f t="shared" si="9"/>
        <v xml:space="preserve">177 : "Peach-Halkel-SMRPG", </v>
      </c>
    </row>
    <row r="172" spans="3:13">
      <c r="C172">
        <f t="shared" si="16"/>
        <v>174</v>
      </c>
      <c r="D172" t="s">
        <v>415</v>
      </c>
      <c r="E172" t="str">
        <f t="shared" si="13"/>
        <v xml:space="preserve">    174 : "anna",</v>
      </c>
      <c r="F172">
        <f t="shared" si="14"/>
        <v>174</v>
      </c>
      <c r="G172">
        <f t="shared" si="8"/>
        <v>173</v>
      </c>
      <c r="H172" t="s">
        <v>1044</v>
      </c>
      <c r="I172" t="str">
        <f t="shared" si="15"/>
        <v xml:space="preserve">    173 : "byuu-p",</v>
      </c>
      <c r="K172">
        <f t="shared" si="10"/>
        <v>178</v>
      </c>
      <c r="L172" t="s">
        <v>1721</v>
      </c>
      <c r="M172" t="str">
        <f t="shared" si="9"/>
        <v xml:space="preserve">178 : "Returner-PocoLoco-FF6", </v>
      </c>
    </row>
    <row r="173" spans="3:13">
      <c r="C173">
        <f t="shared" si="16"/>
        <v>175</v>
      </c>
      <c r="D173" t="s">
        <v>416</v>
      </c>
      <c r="E173" t="str">
        <f t="shared" si="13"/>
        <v xml:space="preserve">    175 : "antlion",</v>
      </c>
      <c r="F173">
        <f t="shared" si="14"/>
        <v>175</v>
      </c>
      <c r="G173">
        <f t="shared" si="8"/>
        <v>174</v>
      </c>
      <c r="H173" t="s">
        <v>1045</v>
      </c>
      <c r="I173" t="str">
        <f t="shared" si="15"/>
        <v xml:space="preserve">    174 : "cactuar-p",</v>
      </c>
      <c r="K173">
        <f t="shared" si="10"/>
        <v>179</v>
      </c>
      <c r="L173" t="s">
        <v>1722</v>
      </c>
      <c r="M173" t="str">
        <f t="shared" si="9"/>
        <v xml:space="preserve">179 : "Rubicante-Astaroth-FF4", </v>
      </c>
    </row>
    <row r="174" spans="3:13">
      <c r="C174">
        <f t="shared" si="16"/>
        <v>176</v>
      </c>
      <c r="D174" t="s">
        <v>417</v>
      </c>
      <c r="E174" t="str">
        <f t="shared" si="13"/>
        <v xml:space="preserve">    176 : "arc",</v>
      </c>
      <c r="F174">
        <f t="shared" si="14"/>
        <v>176</v>
      </c>
      <c r="G174">
        <f t="shared" si="8"/>
        <v>175</v>
      </c>
      <c r="H174" t="s">
        <v>1046</v>
      </c>
      <c r="I174" t="str">
        <f t="shared" si="15"/>
        <v xml:space="preserve">    175 : "cagnazzo-p",</v>
      </c>
      <c r="K174">
        <f t="shared" si="10"/>
        <v>180</v>
      </c>
      <c r="L174" t="s">
        <v>1723</v>
      </c>
      <c r="M174" t="str">
        <f t="shared" si="9"/>
        <v xml:space="preserve">180 : "Scholar-PocoLoco-FF6", </v>
      </c>
    </row>
    <row r="175" spans="3:13">
      <c r="C175">
        <f t="shared" si="16"/>
        <v>177</v>
      </c>
      <c r="D175" t="s">
        <v>418</v>
      </c>
      <c r="E175" t="str">
        <f t="shared" si="13"/>
        <v xml:space="preserve">    177 : "arcanemage",</v>
      </c>
      <c r="F175">
        <f t="shared" si="14"/>
        <v>177</v>
      </c>
      <c r="G175">
        <f t="shared" si="8"/>
        <v>176</v>
      </c>
      <c r="H175" t="s">
        <v>1047</v>
      </c>
      <c r="I175" t="str">
        <f t="shared" si="15"/>
        <v xml:space="preserve">    176 : "caitsith-p",</v>
      </c>
      <c r="K175">
        <f t="shared" si="10"/>
        <v>181</v>
      </c>
      <c r="L175" t="s">
        <v>1724</v>
      </c>
      <c r="M175" t="str">
        <f t="shared" si="9"/>
        <v xml:space="preserve">181 : "Seifer-Filipinac-FF8", </v>
      </c>
    </row>
    <row r="176" spans="3:13">
      <c r="C176">
        <f t="shared" si="16"/>
        <v>178</v>
      </c>
      <c r="D176" t="s">
        <v>419</v>
      </c>
      <c r="E176" t="str">
        <f t="shared" si="13"/>
        <v xml:space="preserve">    178 : "archer-f",</v>
      </c>
      <c r="F176">
        <f t="shared" si="14"/>
        <v>178</v>
      </c>
      <c r="G176">
        <f t="shared" si="8"/>
        <v>177</v>
      </c>
      <c r="H176" t="s">
        <v>1048</v>
      </c>
      <c r="I176" t="str">
        <f t="shared" si="15"/>
        <v xml:space="preserve">    177 : "cammy-p",</v>
      </c>
      <c r="K176">
        <f t="shared" si="10"/>
        <v>182</v>
      </c>
      <c r="L176" t="s">
        <v>1725</v>
      </c>
      <c r="M176" t="str">
        <f t="shared" si="9"/>
        <v xml:space="preserve">182 : "Siegfried-PocoLoco-FF6", </v>
      </c>
    </row>
    <row r="177" spans="3:13">
      <c r="C177">
        <f t="shared" si="16"/>
        <v>179</v>
      </c>
      <c r="D177" t="s">
        <v>420</v>
      </c>
      <c r="E177" t="str">
        <f t="shared" si="13"/>
        <v xml:space="preserve">    179 : "archer-m",</v>
      </c>
      <c r="F177">
        <f t="shared" si="14"/>
        <v>179</v>
      </c>
      <c r="G177">
        <f t="shared" si="8"/>
        <v>178</v>
      </c>
      <c r="H177" t="s">
        <v>1049</v>
      </c>
      <c r="I177" t="str">
        <f t="shared" si="15"/>
        <v xml:space="preserve">    178 : "cat-p",</v>
      </c>
      <c r="K177">
        <f t="shared" si="10"/>
        <v>183</v>
      </c>
      <c r="L177" t="s">
        <v>1726</v>
      </c>
      <c r="M177" t="str">
        <f t="shared" si="9"/>
        <v xml:space="preserve">183 : "Slash-Badass-CT", </v>
      </c>
    </row>
    <row r="178" spans="3:13">
      <c r="C178">
        <f t="shared" si="16"/>
        <v>180</v>
      </c>
      <c r="D178" t="s">
        <v>421</v>
      </c>
      <c r="E178" t="str">
        <f t="shared" si="13"/>
        <v xml:space="preserve">    180 : "aria",</v>
      </c>
      <c r="F178">
        <f t="shared" si="14"/>
        <v>180</v>
      </c>
      <c r="G178">
        <f t="shared" ref="G178:G241" si="17">G177+1</f>
        <v>179</v>
      </c>
      <c r="H178" t="s">
        <v>1050</v>
      </c>
      <c r="I178" t="str">
        <f t="shared" si="15"/>
        <v xml:space="preserve">    179 : "celes-beatrix-p",</v>
      </c>
      <c r="K178">
        <f t="shared" si="10"/>
        <v>184</v>
      </c>
      <c r="L178" t="s">
        <v>1727</v>
      </c>
      <c r="M178" t="str">
        <f t="shared" si="9"/>
        <v xml:space="preserve">184 : "Sonic-Badass-Sonic", </v>
      </c>
    </row>
    <row r="179" spans="3:13">
      <c r="C179">
        <f t="shared" si="16"/>
        <v>181</v>
      </c>
      <c r="D179" t="s">
        <v>422</v>
      </c>
      <c r="E179" t="str">
        <f t="shared" si="13"/>
        <v xml:space="preserve">    181 : "arle",</v>
      </c>
      <c r="F179">
        <f t="shared" si="14"/>
        <v>181</v>
      </c>
      <c r="G179">
        <f t="shared" si="17"/>
        <v>180</v>
      </c>
      <c r="H179" t="s">
        <v>1051</v>
      </c>
      <c r="I179" t="str">
        <f t="shared" si="15"/>
        <v xml:space="preserve">    180 : "celes-opera-p",</v>
      </c>
      <c r="K179">
        <f t="shared" si="10"/>
        <v>185</v>
      </c>
      <c r="L179" t="s">
        <v>1728</v>
      </c>
      <c r="M179" t="str">
        <f t="shared" si="9"/>
        <v xml:space="preserve">185 : "Squall (Uniform)-SApprentice-FF8", </v>
      </c>
    </row>
    <row r="180" spans="3:13">
      <c r="C180">
        <f t="shared" si="16"/>
        <v>182</v>
      </c>
      <c r="D180" t="s">
        <v>423</v>
      </c>
      <c r="E180" t="str">
        <f t="shared" si="13"/>
        <v xml:space="preserve">    182 : "arthur",</v>
      </c>
      <c r="F180">
        <f t="shared" si="14"/>
        <v>182</v>
      </c>
      <c r="G180">
        <f t="shared" si="17"/>
        <v>181</v>
      </c>
      <c r="H180" t="s">
        <v>1052</v>
      </c>
      <c r="I180" t="str">
        <f t="shared" si="15"/>
        <v xml:space="preserve">    181 : "ceodore-p",</v>
      </c>
      <c r="K180">
        <f t="shared" si="10"/>
        <v>186</v>
      </c>
      <c r="L180" t="s">
        <v>1729</v>
      </c>
      <c r="M180" t="str">
        <f t="shared" si="9"/>
        <v xml:space="preserve">186 : "Squall-PocoLoco-FF8", </v>
      </c>
    </row>
    <row r="181" spans="3:13">
      <c r="C181">
        <f t="shared" si="16"/>
        <v>183</v>
      </c>
      <c r="D181" t="s">
        <v>424</v>
      </c>
      <c r="E181" t="str">
        <f t="shared" si="13"/>
        <v xml:space="preserve">    183 : "arvis",</v>
      </c>
      <c r="F181">
        <f t="shared" si="14"/>
        <v>183</v>
      </c>
      <c r="G181">
        <f t="shared" si="17"/>
        <v>182</v>
      </c>
      <c r="H181" t="s">
        <v>1053</v>
      </c>
      <c r="I181" t="str">
        <f t="shared" si="15"/>
        <v xml:space="preserve">    182 : "cfalcon-p",</v>
      </c>
      <c r="K181">
        <f t="shared" si="10"/>
        <v>187</v>
      </c>
      <c r="L181" t="s">
        <v>1730</v>
      </c>
      <c r="M181" t="str">
        <f t="shared" si="9"/>
        <v xml:space="preserve">187 : "Tifa-Astaroth-FF7", </v>
      </c>
    </row>
    <row r="182" spans="3:13">
      <c r="C182">
        <f t="shared" si="16"/>
        <v>184</v>
      </c>
      <c r="D182" t="s">
        <v>425</v>
      </c>
      <c r="E182" t="str">
        <f t="shared" si="13"/>
        <v xml:space="preserve">    184 : "ashe",</v>
      </c>
      <c r="F182">
        <f t="shared" si="14"/>
        <v>184</v>
      </c>
      <c r="G182">
        <f t="shared" si="17"/>
        <v>183</v>
      </c>
      <c r="H182" t="s">
        <v>1054</v>
      </c>
      <c r="I182" t="str">
        <f t="shared" si="15"/>
        <v xml:space="preserve">    183 : "chair-p",</v>
      </c>
      <c r="K182">
        <f t="shared" si="10"/>
        <v>188</v>
      </c>
      <c r="L182" t="s">
        <v>1731</v>
      </c>
      <c r="M182" t="str">
        <f t="shared" si="9"/>
        <v xml:space="preserve">188 : "Train Conductor-Zozma-FF6", </v>
      </c>
    </row>
    <row r="183" spans="3:13">
      <c r="C183">
        <f t="shared" si="16"/>
        <v>185</v>
      </c>
      <c r="D183" t="s">
        <v>426</v>
      </c>
      <c r="E183" t="str">
        <f t="shared" si="13"/>
        <v xml:space="preserve">    185 : "astronaut",</v>
      </c>
      <c r="F183">
        <f t="shared" si="14"/>
        <v>185</v>
      </c>
      <c r="G183">
        <f t="shared" si="17"/>
        <v>184</v>
      </c>
      <c r="H183" t="s">
        <v>1055</v>
      </c>
      <c r="I183" t="str">
        <f t="shared" si="15"/>
        <v xml:space="preserve">    184 : "chancellor-p",</v>
      </c>
      <c r="K183">
        <f t="shared" si="10"/>
        <v>189</v>
      </c>
      <c r="L183" t="s">
        <v>1732</v>
      </c>
      <c r="M183" t="str">
        <f t="shared" si="9"/>
        <v xml:space="preserve">189 : "Vargas-PocoLoco-FF6", </v>
      </c>
    </row>
    <row r="184" spans="3:13">
      <c r="C184">
        <f t="shared" si="16"/>
        <v>186</v>
      </c>
      <c r="D184" t="s">
        <v>427</v>
      </c>
      <c r="E184" t="str">
        <f t="shared" si="13"/>
        <v xml:space="preserve">    186 : "atma",</v>
      </c>
      <c r="F184">
        <f t="shared" si="14"/>
        <v>186</v>
      </c>
      <c r="G184">
        <f t="shared" si="17"/>
        <v>185</v>
      </c>
      <c r="H184" t="s">
        <v>1056</v>
      </c>
      <c r="I184" t="str">
        <f t="shared" si="15"/>
        <v xml:space="preserve">    185 : "chaos-p",</v>
      </c>
      <c r="K184">
        <f t="shared" si="10"/>
        <v>190</v>
      </c>
      <c r="L184" t="s">
        <v>1733</v>
      </c>
      <c r="M184" t="str">
        <f t="shared" si="9"/>
        <v xml:space="preserve">190 : "Vincent-FEOK-FF7", </v>
      </c>
    </row>
    <row r="185" spans="3:13">
      <c r="C185">
        <f t="shared" si="16"/>
        <v>187</v>
      </c>
      <c r="D185" t="s">
        <v>428</v>
      </c>
      <c r="E185" t="str">
        <f t="shared" si="13"/>
        <v xml:space="preserve">    187 : "auron",</v>
      </c>
      <c r="F185">
        <f t="shared" si="14"/>
        <v>187</v>
      </c>
      <c r="G185">
        <f t="shared" si="17"/>
        <v>186</v>
      </c>
      <c r="H185" t="s">
        <v>1057</v>
      </c>
      <c r="I185" t="str">
        <f t="shared" si="15"/>
        <v xml:space="preserve">    186 : "chef-p",</v>
      </c>
      <c r="K185">
        <f t="shared" si="10"/>
        <v>191</v>
      </c>
      <c r="L185" t="s">
        <v>1734</v>
      </c>
      <c r="M185" t="str">
        <f t="shared" si="9"/>
        <v xml:space="preserve">191 : "Yoshi-Badass-Mario", </v>
      </c>
    </row>
    <row r="186" spans="3:13">
      <c r="C186">
        <f t="shared" si="16"/>
        <v>188</v>
      </c>
      <c r="D186" t="s">
        <v>429</v>
      </c>
      <c r="E186" t="str">
        <f t="shared" si="13"/>
        <v xml:space="preserve">    188 : "axel",</v>
      </c>
      <c r="F186">
        <f t="shared" si="14"/>
        <v>188</v>
      </c>
      <c r="G186">
        <f t="shared" si="17"/>
        <v>187</v>
      </c>
      <c r="H186" t="s">
        <v>1058</v>
      </c>
      <c r="I186" t="str">
        <f t="shared" si="15"/>
        <v xml:space="preserve">    187 : "chemist-p",</v>
      </c>
    </row>
    <row r="187" spans="3:13">
      <c r="C187">
        <f t="shared" si="16"/>
        <v>189</v>
      </c>
      <c r="D187" t="s">
        <v>430</v>
      </c>
      <c r="E187" t="str">
        <f t="shared" si="13"/>
        <v xml:space="preserve">    189 : "ayla",</v>
      </c>
      <c r="F187">
        <f t="shared" si="14"/>
        <v>189</v>
      </c>
      <c r="G187">
        <f t="shared" si="17"/>
        <v>188</v>
      </c>
      <c r="H187" t="s">
        <v>1059</v>
      </c>
      <c r="I187" t="str">
        <f t="shared" si="15"/>
        <v xml:space="preserve">    188 : "chen-p",</v>
      </c>
    </row>
    <row r="188" spans="3:13">
      <c r="C188">
        <f t="shared" si="16"/>
        <v>190</v>
      </c>
      <c r="D188" t="s">
        <v>431</v>
      </c>
      <c r="E188" t="str">
        <f t="shared" si="13"/>
        <v xml:space="preserve">    190 : "baby",</v>
      </c>
      <c r="F188">
        <f t="shared" si="14"/>
        <v>190</v>
      </c>
      <c r="G188">
        <f t="shared" si="17"/>
        <v>189</v>
      </c>
      <c r="H188" t="s">
        <v>1060</v>
      </c>
      <c r="I188" t="str">
        <f t="shared" si="15"/>
        <v xml:space="preserve">    189 : "chocobo-p",</v>
      </c>
    </row>
    <row r="189" spans="3:13">
      <c r="C189">
        <f t="shared" si="16"/>
        <v>191</v>
      </c>
      <c r="D189" t="s">
        <v>432</v>
      </c>
      <c r="E189" t="str">
        <f t="shared" si="13"/>
        <v xml:space="preserve">    191 : "baku",</v>
      </c>
      <c r="F189">
        <f t="shared" si="14"/>
        <v>191</v>
      </c>
      <c r="G189">
        <f t="shared" si="17"/>
        <v>190</v>
      </c>
      <c r="H189" t="s">
        <v>1061</v>
      </c>
      <c r="I189" t="str">
        <f t="shared" si="15"/>
        <v xml:space="preserve">    190 : "chunli-p",</v>
      </c>
    </row>
    <row r="190" spans="3:13">
      <c r="C190">
        <f t="shared" si="16"/>
        <v>192</v>
      </c>
      <c r="D190" t="s">
        <v>433</v>
      </c>
      <c r="E190" t="str">
        <f t="shared" si="13"/>
        <v xml:space="preserve">    192 : "balthier",</v>
      </c>
      <c r="F190">
        <f t="shared" si="14"/>
        <v>192</v>
      </c>
      <c r="G190">
        <f t="shared" si="17"/>
        <v>191</v>
      </c>
      <c r="H190" t="s">
        <v>1062</v>
      </c>
      <c r="I190" t="str">
        <f t="shared" si="15"/>
        <v xml:space="preserve">    191 : "chupon-p",</v>
      </c>
    </row>
    <row r="191" spans="3:13">
      <c r="C191">
        <f t="shared" si="16"/>
        <v>193</v>
      </c>
      <c r="D191" t="s">
        <v>434</v>
      </c>
      <c r="E191" t="str">
        <f t="shared" si="13"/>
        <v xml:space="preserve">    193 : "bananon",</v>
      </c>
      <c r="F191">
        <f t="shared" si="14"/>
        <v>193</v>
      </c>
      <c r="G191">
        <f t="shared" si="17"/>
        <v>192</v>
      </c>
      <c r="H191" t="s">
        <v>1063</v>
      </c>
      <c r="I191" t="str">
        <f t="shared" si="15"/>
        <v xml:space="preserve">    192 : "cid4-p",</v>
      </c>
    </row>
    <row r="192" spans="3:13">
      <c r="C192">
        <f t="shared" si="16"/>
        <v>194</v>
      </c>
      <c r="D192" t="s">
        <v>435</v>
      </c>
      <c r="E192" t="str">
        <f t="shared" si="13"/>
        <v xml:space="preserve">    194 : "bandit",</v>
      </c>
      <c r="F192">
        <f t="shared" si="14"/>
        <v>194</v>
      </c>
      <c r="G192">
        <f t="shared" si="17"/>
        <v>193</v>
      </c>
      <c r="H192" t="s">
        <v>1064</v>
      </c>
      <c r="I192" t="str">
        <f t="shared" si="15"/>
        <v xml:space="preserve">    193 : "cid5-p",</v>
      </c>
    </row>
    <row r="193" spans="3:9">
      <c r="C193">
        <f t="shared" si="16"/>
        <v>195</v>
      </c>
      <c r="D193" t="s">
        <v>436</v>
      </c>
      <c r="E193" t="str">
        <f t="shared" si="13"/>
        <v xml:space="preserve">    195 : "bangaa-rinok",</v>
      </c>
      <c r="F193">
        <f t="shared" si="14"/>
        <v>195</v>
      </c>
      <c r="G193">
        <f t="shared" si="17"/>
        <v>194</v>
      </c>
      <c r="H193" t="s">
        <v>1065</v>
      </c>
      <c r="I193" t="str">
        <f t="shared" si="15"/>
        <v xml:space="preserve">    194 : "cid6-p",</v>
      </c>
    </row>
    <row r="194" spans="3:9">
      <c r="C194">
        <f t="shared" si="16"/>
        <v>196</v>
      </c>
      <c r="D194" t="s">
        <v>437</v>
      </c>
      <c r="E194" t="str">
        <f t="shared" si="13"/>
        <v xml:space="preserve">    196 : "bangaa",</v>
      </c>
      <c r="F194">
        <f t="shared" si="14"/>
        <v>196</v>
      </c>
      <c r="G194">
        <f t="shared" si="17"/>
        <v>195</v>
      </c>
      <c r="H194" t="s">
        <v>1066</v>
      </c>
      <c r="I194" t="str">
        <f t="shared" si="15"/>
        <v xml:space="preserve">    195 : "cid7-p",</v>
      </c>
    </row>
    <row r="195" spans="3:9">
      <c r="C195">
        <f t="shared" si="16"/>
        <v>197</v>
      </c>
      <c r="D195" t="s">
        <v>438</v>
      </c>
      <c r="E195" t="str">
        <f t="shared" si="13"/>
        <v xml:space="preserve">    197 : "banjokazooie",</v>
      </c>
      <c r="F195">
        <f t="shared" si="14"/>
        <v>197</v>
      </c>
      <c r="G195">
        <f t="shared" si="17"/>
        <v>196</v>
      </c>
      <c r="H195" t="s">
        <v>1067</v>
      </c>
      <c r="I195" t="str">
        <f t="shared" si="15"/>
        <v xml:space="preserve">    196 : "cinna-p",</v>
      </c>
    </row>
    <row r="196" spans="3:9">
      <c r="C196">
        <f t="shared" si="16"/>
        <v>198</v>
      </c>
      <c r="D196" t="s">
        <v>439</v>
      </c>
      <c r="E196" t="str">
        <f t="shared" si="13"/>
        <v xml:space="preserve">    198 : "banon-wizard",</v>
      </c>
      <c r="F196">
        <f t="shared" si="14"/>
        <v>198</v>
      </c>
      <c r="G196">
        <f t="shared" si="17"/>
        <v>197</v>
      </c>
      <c r="H196" t="s">
        <v>1068</v>
      </c>
      <c r="I196" t="str">
        <f t="shared" si="15"/>
        <v xml:space="preserve">    197 : "cirno-p",</v>
      </c>
    </row>
    <row r="197" spans="3:9">
      <c r="C197">
        <f t="shared" si="16"/>
        <v>199</v>
      </c>
      <c r="D197" t="s">
        <v>440</v>
      </c>
      <c r="E197" t="str">
        <f t="shared" si="13"/>
        <v xml:space="preserve">    199 : "banon_riding",</v>
      </c>
      <c r="F197">
        <f t="shared" si="14"/>
        <v>199</v>
      </c>
      <c r="G197">
        <f t="shared" si="17"/>
        <v>198</v>
      </c>
      <c r="H197" t="s">
        <v>1069</v>
      </c>
      <c r="I197" t="str">
        <f t="shared" si="15"/>
        <v xml:space="preserve">    198 : "cleon-p",</v>
      </c>
    </row>
    <row r="198" spans="3:9">
      <c r="C198">
        <f t="shared" si="16"/>
        <v>200</v>
      </c>
      <c r="D198" t="s">
        <v>441</v>
      </c>
      <c r="E198" t="str">
        <f t="shared" si="13"/>
        <v xml:space="preserve">    200 : "barbariccia",</v>
      </c>
      <c r="F198">
        <f t="shared" si="14"/>
        <v>200</v>
      </c>
      <c r="G198">
        <f t="shared" si="17"/>
        <v>199</v>
      </c>
      <c r="H198" t="s">
        <v>1070</v>
      </c>
      <c r="I198" t="str">
        <f t="shared" si="15"/>
        <v xml:space="preserve">    199 : "cloak-p",</v>
      </c>
    </row>
    <row r="199" spans="3:9">
      <c r="C199">
        <f t="shared" si="16"/>
        <v>201</v>
      </c>
      <c r="D199" t="s">
        <v>442</v>
      </c>
      <c r="E199" t="str">
        <f t="shared" si="13"/>
        <v xml:space="preserve">    201 : "barret",</v>
      </c>
      <c r="F199">
        <f t="shared" si="14"/>
        <v>201</v>
      </c>
      <c r="G199">
        <f t="shared" si="17"/>
        <v>200</v>
      </c>
      <c r="H199" t="s">
        <v>1071</v>
      </c>
      <c r="I199" t="str">
        <f t="shared" si="15"/>
        <v xml:space="preserve">    200 : "clock-p",</v>
      </c>
    </row>
    <row r="200" spans="3:9">
      <c r="C200">
        <f t="shared" si="16"/>
        <v>202</v>
      </c>
      <c r="D200" t="s">
        <v>443</v>
      </c>
      <c r="E200" t="str">
        <f t="shared" si="13"/>
        <v xml:space="preserve">    202 : "barthello",</v>
      </c>
      <c r="F200">
        <f t="shared" si="14"/>
        <v>202</v>
      </c>
      <c r="G200">
        <f t="shared" si="17"/>
        <v>201</v>
      </c>
      <c r="H200" t="s">
        <v>1072</v>
      </c>
      <c r="I200" t="str">
        <f t="shared" si="15"/>
        <v xml:space="preserve">    201 : "cloud-dress-p",</v>
      </c>
    </row>
    <row r="201" spans="3:9">
      <c r="C201">
        <f t="shared" si="16"/>
        <v>203</v>
      </c>
      <c r="D201" t="s">
        <v>444</v>
      </c>
      <c r="E201" t="str">
        <f t="shared" si="13"/>
        <v xml:space="preserve">    203 : "bartz",</v>
      </c>
      <c r="F201">
        <f t="shared" si="14"/>
        <v>203</v>
      </c>
      <c r="G201">
        <f t="shared" si="17"/>
        <v>202</v>
      </c>
      <c r="H201" t="s">
        <v>1073</v>
      </c>
      <c r="I201" t="str">
        <f t="shared" si="15"/>
        <v xml:space="preserve">    202 : "cloud-p",</v>
      </c>
    </row>
    <row r="202" spans="3:9">
      <c r="C202">
        <f t="shared" si="16"/>
        <v>204</v>
      </c>
      <c r="D202" t="s">
        <v>445</v>
      </c>
      <c r="E202" t="str">
        <f t="shared" si="13"/>
        <v xml:space="preserve">    204 : "basch-beard",</v>
      </c>
      <c r="F202">
        <f t="shared" si="14"/>
        <v>204</v>
      </c>
      <c r="G202">
        <f t="shared" si="17"/>
        <v>203</v>
      </c>
      <c r="H202" t="s">
        <v>1074</v>
      </c>
      <c r="I202" t="str">
        <f t="shared" si="15"/>
        <v xml:space="preserve">    203 : "clyde-edge-p",</v>
      </c>
    </row>
    <row r="203" spans="3:9">
      <c r="C203">
        <f t="shared" si="16"/>
        <v>205</v>
      </c>
      <c r="D203" t="s">
        <v>446</v>
      </c>
      <c r="E203" t="str">
        <f t="shared" si="13"/>
        <v xml:space="preserve">    205 : "basch",</v>
      </c>
      <c r="F203">
        <f t="shared" si="14"/>
        <v>205</v>
      </c>
      <c r="G203">
        <f t="shared" si="17"/>
        <v>204</v>
      </c>
      <c r="H203" t="s">
        <v>1075</v>
      </c>
      <c r="I203" t="str">
        <f t="shared" si="15"/>
        <v xml:space="preserve">    204 : "clyde-p",</v>
      </c>
    </row>
    <row r="204" spans="3:9">
      <c r="C204">
        <f t="shared" si="16"/>
        <v>206</v>
      </c>
      <c r="D204" t="s">
        <v>447</v>
      </c>
      <c r="E204" t="str">
        <f t="shared" si="13"/>
        <v xml:space="preserve">    206 : "batman",</v>
      </c>
      <c r="F204">
        <f t="shared" si="14"/>
        <v>206</v>
      </c>
      <c r="G204">
        <f t="shared" si="17"/>
        <v>205</v>
      </c>
      <c r="H204" t="s">
        <v>1076</v>
      </c>
      <c r="I204" t="str">
        <f t="shared" si="15"/>
        <v xml:space="preserve">    205 : "crono-p",</v>
      </c>
    </row>
    <row r="205" spans="3:9">
      <c r="C205">
        <f t="shared" si="16"/>
        <v>207</v>
      </c>
      <c r="D205" t="s">
        <v>448</v>
      </c>
      <c r="E205" t="str">
        <f t="shared" si="13"/>
        <v xml:space="preserve">    207 : "beatrix",</v>
      </c>
      <c r="F205">
        <f t="shared" si="14"/>
        <v>207</v>
      </c>
      <c r="G205">
        <f t="shared" si="17"/>
        <v>206</v>
      </c>
      <c r="H205" t="s">
        <v>1077</v>
      </c>
      <c r="I205" t="str">
        <f t="shared" si="15"/>
        <v xml:space="preserve">    206 : "cucco-p",</v>
      </c>
    </row>
    <row r="206" spans="3:9">
      <c r="C206">
        <f t="shared" si="16"/>
        <v>208</v>
      </c>
      <c r="D206" t="s">
        <v>449</v>
      </c>
      <c r="E206" t="str">
        <f t="shared" si="13"/>
        <v xml:space="preserve">    208 : "beaver",</v>
      </c>
      <c r="F206">
        <f t="shared" si="14"/>
        <v>208</v>
      </c>
      <c r="G206">
        <f t="shared" si="17"/>
        <v>207</v>
      </c>
      <c r="H206" t="s">
        <v>1078</v>
      </c>
      <c r="I206" t="str">
        <f t="shared" si="15"/>
        <v xml:space="preserve">    207 : "cultist-p",</v>
      </c>
    </row>
    <row r="207" spans="3:9">
      <c r="C207">
        <f t="shared" si="16"/>
        <v>209</v>
      </c>
      <c r="D207" t="s">
        <v>450</v>
      </c>
      <c r="E207" t="str">
        <f t="shared" si="13"/>
        <v xml:space="preserve">    209 : "berserker",</v>
      </c>
      <c r="F207">
        <f t="shared" si="14"/>
        <v>209</v>
      </c>
      <c r="G207">
        <f t="shared" si="17"/>
        <v>208</v>
      </c>
      <c r="H207" t="s">
        <v>1079</v>
      </c>
      <c r="I207" t="str">
        <f t="shared" si="15"/>
        <v xml:space="preserve">    208 : "cyan-auron-p",</v>
      </c>
    </row>
    <row r="208" spans="3:9">
      <c r="C208">
        <f t="shared" si="16"/>
        <v>210</v>
      </c>
      <c r="D208" t="s">
        <v>451</v>
      </c>
      <c r="E208" t="str">
        <f t="shared" si="13"/>
        <v xml:space="preserve">    210 : "biggs7",</v>
      </c>
      <c r="F208">
        <f t="shared" si="14"/>
        <v>210</v>
      </c>
      <c r="G208">
        <f t="shared" si="17"/>
        <v>209</v>
      </c>
      <c r="H208" t="s">
        <v>1080</v>
      </c>
      <c r="I208" t="str">
        <f t="shared" si="15"/>
        <v xml:space="preserve">    209 : "cyan-judge-p",</v>
      </c>
    </row>
    <row r="209" spans="3:9">
      <c r="C209">
        <f t="shared" si="16"/>
        <v>211</v>
      </c>
      <c r="D209" t="s">
        <v>452</v>
      </c>
      <c r="E209" t="str">
        <f t="shared" si="13"/>
        <v xml:space="preserve">    211 : "biggsrk",</v>
      </c>
      <c r="F209">
        <f t="shared" si="14"/>
        <v>211</v>
      </c>
      <c r="G209">
        <f t="shared" si="17"/>
        <v>210</v>
      </c>
      <c r="H209" t="s">
        <v>1081</v>
      </c>
      <c r="I209" t="str">
        <f t="shared" si="15"/>
        <v xml:space="preserve">    210 : "cyan-siegfried-p",</v>
      </c>
    </row>
    <row r="210" spans="3:9">
      <c r="C210">
        <f t="shared" si="16"/>
        <v>212</v>
      </c>
      <c r="D210" t="s">
        <v>453</v>
      </c>
      <c r="E210" t="str">
        <f t="shared" si="13"/>
        <v xml:space="preserve">    212 : "bird",</v>
      </c>
      <c r="F210">
        <f t="shared" si="14"/>
        <v>212</v>
      </c>
      <c r="G210">
        <f t="shared" si="17"/>
        <v>211</v>
      </c>
      <c r="H210" t="s">
        <v>1082</v>
      </c>
      <c r="I210" t="str">
        <f t="shared" si="15"/>
        <v xml:space="preserve">    211 : "cyan-tenzen-p",</v>
      </c>
    </row>
    <row r="211" spans="3:9">
      <c r="C211">
        <f t="shared" si="16"/>
        <v>213</v>
      </c>
      <c r="D211" t="s">
        <v>454</v>
      </c>
      <c r="E211" t="str">
        <f t="shared" si="13"/>
        <v xml:space="preserve">    213 : "blackmage-f",</v>
      </c>
      <c r="F211">
        <f t="shared" si="14"/>
        <v>213</v>
      </c>
      <c r="G211">
        <f t="shared" si="17"/>
        <v>212</v>
      </c>
      <c r="H211" t="s">
        <v>1083</v>
      </c>
      <c r="I211" t="str">
        <f t="shared" si="15"/>
        <v xml:space="preserve">    212 : "cyrax-p",</v>
      </c>
    </row>
    <row r="212" spans="3:9">
      <c r="C212">
        <f t="shared" si="16"/>
        <v>214</v>
      </c>
      <c r="D212" t="s">
        <v>455</v>
      </c>
      <c r="E212" t="str">
        <f t="shared" si="13"/>
        <v xml:space="preserve">    214 : "blackmage-magus",</v>
      </c>
      <c r="F212">
        <f t="shared" si="14"/>
        <v>214</v>
      </c>
      <c r="G212">
        <f t="shared" si="17"/>
        <v>213</v>
      </c>
      <c r="H212" t="s">
        <v>1084</v>
      </c>
      <c r="I212" t="str">
        <f t="shared" si="15"/>
        <v xml:space="preserve">    213 : "cyrus-p",</v>
      </c>
    </row>
    <row r="213" spans="3:9">
      <c r="C213">
        <f t="shared" si="16"/>
        <v>215</v>
      </c>
      <c r="D213" t="s">
        <v>456</v>
      </c>
      <c r="E213" t="str">
        <f t="shared" si="13"/>
        <v xml:space="preserve">    215 : "blackmage-new",</v>
      </c>
      <c r="F213">
        <f t="shared" si="14"/>
        <v>215</v>
      </c>
      <c r="G213">
        <f t="shared" si="17"/>
        <v>214</v>
      </c>
      <c r="H213" t="s">
        <v>1085</v>
      </c>
      <c r="I213" t="str">
        <f t="shared" si="15"/>
        <v xml:space="preserve">    214 : "dajh-p",</v>
      </c>
    </row>
    <row r="214" spans="3:9">
      <c r="C214">
        <f t="shared" si="16"/>
        <v>216</v>
      </c>
      <c r="D214" t="s">
        <v>457</v>
      </c>
      <c r="E214" t="str">
        <f t="shared" si="13"/>
        <v xml:space="preserve">    216 : "blackmage-rouge",</v>
      </c>
      <c r="F214">
        <f t="shared" si="14"/>
        <v>216</v>
      </c>
      <c r="G214">
        <f t="shared" si="17"/>
        <v>215</v>
      </c>
      <c r="H214" t="s">
        <v>1086</v>
      </c>
      <c r="I214" t="str">
        <f t="shared" si="15"/>
        <v xml:space="preserve">    215 : "dancer-p",</v>
      </c>
    </row>
    <row r="215" spans="3:9">
      <c r="C215">
        <f t="shared" si="16"/>
        <v>217</v>
      </c>
      <c r="D215" t="s">
        <v>458</v>
      </c>
      <c r="E215" t="str">
        <f t="shared" si="13"/>
        <v xml:space="preserve">    217 : "blackmage",</v>
      </c>
      <c r="F215">
        <f t="shared" si="14"/>
        <v>217</v>
      </c>
      <c r="G215">
        <f t="shared" si="17"/>
        <v>216</v>
      </c>
      <c r="H215" t="s">
        <v>1087</v>
      </c>
      <c r="I215" t="str">
        <f t="shared" si="15"/>
        <v xml:space="preserve">    216 : "dark-knight-p",</v>
      </c>
    </row>
    <row r="216" spans="3:9">
      <c r="C216">
        <f t="shared" si="16"/>
        <v>218</v>
      </c>
      <c r="D216" t="s">
        <v>459</v>
      </c>
      <c r="E216" t="str">
        <f t="shared" si="13"/>
        <v xml:space="preserve">    218 : "blanc",</v>
      </c>
      <c r="F216">
        <f t="shared" si="14"/>
        <v>218</v>
      </c>
      <c r="G216">
        <f t="shared" si="17"/>
        <v>217</v>
      </c>
      <c r="H216" t="s">
        <v>1088</v>
      </c>
      <c r="I216" t="str">
        <f t="shared" si="15"/>
        <v xml:space="preserve">    217 : "darkelf-p",</v>
      </c>
    </row>
    <row r="217" spans="3:9">
      <c r="C217">
        <f t="shared" si="16"/>
        <v>219</v>
      </c>
      <c r="D217" t="s">
        <v>460</v>
      </c>
      <c r="E217" t="str">
        <f t="shared" si="13"/>
        <v xml:space="preserve">    219 : "blank",</v>
      </c>
      <c r="F217">
        <f t="shared" si="14"/>
        <v>219</v>
      </c>
      <c r="G217">
        <f t="shared" si="17"/>
        <v>218</v>
      </c>
      <c r="H217" t="s">
        <v>1089</v>
      </c>
      <c r="I217" t="str">
        <f t="shared" si="15"/>
        <v xml:space="preserve">    218 : "daryl-p",</v>
      </c>
    </row>
    <row r="218" spans="3:9">
      <c r="C218">
        <f t="shared" si="16"/>
        <v>220</v>
      </c>
      <c r="D218" t="s">
        <v>461</v>
      </c>
      <c r="E218" t="str">
        <f t="shared" si="13"/>
        <v xml:space="preserve">    220 : "blaze",</v>
      </c>
      <c r="F218">
        <f t="shared" si="14"/>
        <v>220</v>
      </c>
      <c r="G218">
        <f t="shared" si="17"/>
        <v>219</v>
      </c>
      <c r="H218" t="s">
        <v>1090</v>
      </c>
      <c r="I218" t="str">
        <f t="shared" si="15"/>
        <v xml:space="preserve">    219 : "datto-p",</v>
      </c>
    </row>
    <row r="219" spans="3:9">
      <c r="C219">
        <f t="shared" si="16"/>
        <v>221</v>
      </c>
      <c r="D219" t="s">
        <v>462</v>
      </c>
      <c r="E219" t="str">
        <f t="shared" si="13"/>
        <v xml:space="preserve">    221 : "bomb",</v>
      </c>
      <c r="F219">
        <f t="shared" si="14"/>
        <v>221</v>
      </c>
      <c r="G219">
        <f t="shared" si="17"/>
        <v>220</v>
      </c>
      <c r="H219" t="s">
        <v>1091</v>
      </c>
      <c r="I219" t="str">
        <f t="shared" si="15"/>
        <v xml:space="preserve">    220 : "deathadder-p",</v>
      </c>
    </row>
    <row r="220" spans="3:9">
      <c r="C220">
        <f t="shared" si="16"/>
        <v>222</v>
      </c>
      <c r="D220" t="s">
        <v>463</v>
      </c>
      <c r="E220" t="str">
        <f t="shared" si="13"/>
        <v xml:space="preserve">    222 : "bomberman",</v>
      </c>
      <c r="F220">
        <f t="shared" si="14"/>
        <v>222</v>
      </c>
      <c r="G220">
        <f t="shared" si="17"/>
        <v>221</v>
      </c>
      <c r="H220" t="s">
        <v>1092</v>
      </c>
      <c r="I220" t="str">
        <f t="shared" si="15"/>
        <v xml:space="preserve">    221 : "decil-p",</v>
      </c>
    </row>
    <row r="221" spans="3:9">
      <c r="C221">
        <f t="shared" si="16"/>
        <v>223</v>
      </c>
      <c r="D221" t="s">
        <v>464</v>
      </c>
      <c r="E221" t="str">
        <f t="shared" si="13"/>
        <v xml:space="preserve">    223 : "bombette",</v>
      </c>
      <c r="F221">
        <f t="shared" si="14"/>
        <v>223</v>
      </c>
      <c r="G221">
        <f t="shared" si="17"/>
        <v>222</v>
      </c>
      <c r="H221" t="s">
        <v>1093</v>
      </c>
      <c r="I221" t="str">
        <f t="shared" si="15"/>
        <v xml:space="preserve">    222 : "delita-armor-p",</v>
      </c>
    </row>
    <row r="222" spans="3:9">
      <c r="C222">
        <f t="shared" si="16"/>
        <v>224</v>
      </c>
      <c r="D222" t="s">
        <v>465</v>
      </c>
      <c r="E222" t="str">
        <f t="shared" si="13"/>
        <v xml:space="preserve">    224 : "borghen",</v>
      </c>
      <c r="F222">
        <f t="shared" si="14"/>
        <v>224</v>
      </c>
      <c r="G222">
        <f t="shared" si="17"/>
        <v>223</v>
      </c>
      <c r="H222" t="s">
        <v>1094</v>
      </c>
      <c r="I222" t="str">
        <f t="shared" si="15"/>
        <v xml:space="preserve">    223 : "delita-p",</v>
      </c>
    </row>
    <row r="223" spans="3:9">
      <c r="C223">
        <f t="shared" si="16"/>
        <v>225</v>
      </c>
      <c r="D223" t="s">
        <v>466</v>
      </c>
      <c r="E223" t="str">
        <f t="shared" si="13"/>
        <v xml:space="preserve">    225 : "bowser",</v>
      </c>
      <c r="F223">
        <f t="shared" si="14"/>
        <v>225</v>
      </c>
      <c r="G223">
        <f t="shared" si="17"/>
        <v>224</v>
      </c>
      <c r="H223" t="s">
        <v>1095</v>
      </c>
      <c r="I223" t="str">
        <f t="shared" si="15"/>
        <v xml:space="preserve">    224 : "desch-p",</v>
      </c>
    </row>
    <row r="224" spans="3:9">
      <c r="C224">
        <f t="shared" si="16"/>
        <v>226</v>
      </c>
      <c r="D224" t="s">
        <v>467</v>
      </c>
      <c r="E224" t="str">
        <f t="shared" ref="E224:E263" si="18">"    "&amp;C224&amp;" : """&amp;D224&amp;""","</f>
        <v xml:space="preserve">    226 : "bowserjr",</v>
      </c>
      <c r="F224">
        <f t="shared" ref="F224:F287" si="19">C224</f>
        <v>226</v>
      </c>
      <c r="G224">
        <f t="shared" si="17"/>
        <v>225</v>
      </c>
      <c r="H224" t="s">
        <v>1096</v>
      </c>
      <c r="I224" t="str">
        <f t="shared" ref="I224:I287" si="20">"    "&amp;G224&amp;" : """&amp;H224&amp;""","</f>
        <v xml:space="preserve">    225 : "devout-p",</v>
      </c>
    </row>
    <row r="225" spans="3:9">
      <c r="C225">
        <f t="shared" ref="C225:C288" si="21">C224+1</f>
        <v>227</v>
      </c>
      <c r="D225" t="s">
        <v>468</v>
      </c>
      <c r="E225" t="str">
        <f t="shared" si="18"/>
        <v xml:space="preserve">    227 : "boy",</v>
      </c>
      <c r="F225">
        <f t="shared" si="19"/>
        <v>227</v>
      </c>
      <c r="G225">
        <f t="shared" si="17"/>
        <v>226</v>
      </c>
      <c r="H225" t="s">
        <v>1097</v>
      </c>
      <c r="I225" t="str">
        <f t="shared" si="20"/>
        <v xml:space="preserve">    226 : "dogstahl-p",</v>
      </c>
    </row>
    <row r="226" spans="3:9">
      <c r="C226">
        <f t="shared" si="21"/>
        <v>228</v>
      </c>
      <c r="D226" t="s">
        <v>469</v>
      </c>
      <c r="E226" t="str">
        <f t="shared" si="18"/>
        <v xml:space="preserve">    228 : "bubbledragon",</v>
      </c>
      <c r="F226">
        <f t="shared" si="19"/>
        <v>228</v>
      </c>
      <c r="G226">
        <f t="shared" si="17"/>
        <v>227</v>
      </c>
      <c r="H226" t="s">
        <v>1098</v>
      </c>
      <c r="I226" t="str">
        <f t="shared" si="20"/>
        <v xml:space="preserve">    227 : "dona-p",</v>
      </c>
    </row>
    <row r="227" spans="3:9">
      <c r="C227">
        <f t="shared" si="21"/>
        <v>229</v>
      </c>
      <c r="D227" t="s">
        <v>470</v>
      </c>
      <c r="E227" t="str">
        <f t="shared" si="18"/>
        <v xml:space="preserve">    229 : "bucket",</v>
      </c>
      <c r="F227">
        <f t="shared" si="19"/>
        <v>229</v>
      </c>
      <c r="G227">
        <f t="shared" si="17"/>
        <v>228</v>
      </c>
      <c r="H227" t="s">
        <v>1099</v>
      </c>
      <c r="I227" t="str">
        <f t="shared" si="20"/>
        <v xml:space="preserve">    228 : "doncorneo-p",</v>
      </c>
    </row>
    <row r="228" spans="3:9">
      <c r="C228">
        <f t="shared" si="21"/>
        <v>230</v>
      </c>
      <c r="D228" t="s">
        <v>471</v>
      </c>
      <c r="E228" t="str">
        <f t="shared" si="18"/>
        <v xml:space="preserve">    230 : "bug",</v>
      </c>
      <c r="F228">
        <f t="shared" si="19"/>
        <v>230</v>
      </c>
      <c r="G228">
        <f t="shared" si="17"/>
        <v>229</v>
      </c>
      <c r="H228" t="s">
        <v>1100</v>
      </c>
      <c r="I228" t="str">
        <f t="shared" si="20"/>
        <v xml:space="preserve">    229 : "donkeykong-p",</v>
      </c>
    </row>
    <row r="229" spans="3:9">
      <c r="C229">
        <f t="shared" si="21"/>
        <v>231</v>
      </c>
      <c r="D229" t="s">
        <v>472</v>
      </c>
      <c r="E229" t="str">
        <f t="shared" si="18"/>
        <v xml:space="preserve">    231 : "bunnylink",</v>
      </c>
      <c r="F229">
        <f t="shared" si="19"/>
        <v>231</v>
      </c>
      <c r="G229">
        <f t="shared" si="17"/>
        <v>230</v>
      </c>
      <c r="H229" t="s">
        <v>1101</v>
      </c>
      <c r="I229" t="str">
        <f t="shared" si="20"/>
        <v xml:space="preserve">    230 : "doomguy-p",</v>
      </c>
    </row>
    <row r="230" spans="3:9">
      <c r="C230">
        <f t="shared" si="21"/>
        <v>232</v>
      </c>
      <c r="D230" t="s">
        <v>473</v>
      </c>
      <c r="E230" t="str">
        <f t="shared" si="18"/>
        <v xml:space="preserve">    232 : "byuu",</v>
      </c>
      <c r="F230">
        <f t="shared" si="19"/>
        <v>232</v>
      </c>
      <c r="G230">
        <f t="shared" si="17"/>
        <v>231</v>
      </c>
      <c r="H230" t="s">
        <v>1102</v>
      </c>
      <c r="I230" t="str">
        <f t="shared" si="20"/>
        <v xml:space="preserve">    231 : "door-p",</v>
      </c>
    </row>
    <row r="231" spans="3:9">
      <c r="C231">
        <f t="shared" si="21"/>
        <v>233</v>
      </c>
      <c r="D231" t="s">
        <v>474</v>
      </c>
      <c r="E231" t="str">
        <f t="shared" si="18"/>
        <v xml:space="preserve">    233 : "cactuar",</v>
      </c>
      <c r="F231">
        <f t="shared" si="19"/>
        <v>233</v>
      </c>
      <c r="G231">
        <f t="shared" si="17"/>
        <v>232</v>
      </c>
      <c r="H231" t="s">
        <v>1103</v>
      </c>
      <c r="I231" t="str">
        <f t="shared" si="20"/>
        <v xml:space="preserve">    232 : "dorgann-p",</v>
      </c>
    </row>
    <row r="232" spans="3:9">
      <c r="C232">
        <f t="shared" si="21"/>
        <v>234</v>
      </c>
      <c r="D232" t="s">
        <v>475</v>
      </c>
      <c r="E232" t="str">
        <f t="shared" si="18"/>
        <v xml:space="preserve">    234 : "cagnazzo",</v>
      </c>
      <c r="F232">
        <f t="shared" si="19"/>
        <v>234</v>
      </c>
      <c r="G232">
        <f t="shared" si="17"/>
        <v>233</v>
      </c>
      <c r="H232" t="s">
        <v>1104</v>
      </c>
      <c r="I232" t="str">
        <f t="shared" si="20"/>
        <v xml:space="preserve">    233 : "draco-p",</v>
      </c>
    </row>
    <row r="233" spans="3:9">
      <c r="C233">
        <f t="shared" si="21"/>
        <v>235</v>
      </c>
      <c r="D233" t="s">
        <v>476</v>
      </c>
      <c r="E233" t="str">
        <f t="shared" si="18"/>
        <v xml:space="preserve">    235 : "caitsith",</v>
      </c>
      <c r="F233">
        <f t="shared" si="19"/>
        <v>235</v>
      </c>
      <c r="G233">
        <f t="shared" si="17"/>
        <v>234</v>
      </c>
      <c r="H233" t="s">
        <v>1105</v>
      </c>
      <c r="I233" t="str">
        <f t="shared" si="20"/>
        <v xml:space="preserve">    234 : "dragon-p",</v>
      </c>
    </row>
    <row r="234" spans="3:9">
      <c r="C234">
        <f t="shared" si="21"/>
        <v>236</v>
      </c>
      <c r="D234" t="s">
        <v>477</v>
      </c>
      <c r="E234" t="str">
        <f t="shared" si="18"/>
        <v xml:space="preserve">    236 : "cammy",</v>
      </c>
      <c r="F234">
        <f t="shared" si="19"/>
        <v>236</v>
      </c>
      <c r="G234">
        <f t="shared" si="17"/>
        <v>235</v>
      </c>
      <c r="H234" t="s">
        <v>1106</v>
      </c>
      <c r="I234" t="str">
        <f t="shared" si="20"/>
        <v xml:space="preserve">    235 : "drmog-p",</v>
      </c>
    </row>
    <row r="235" spans="3:9">
      <c r="C235">
        <f t="shared" si="21"/>
        <v>237</v>
      </c>
      <c r="D235" t="s">
        <v>478</v>
      </c>
      <c r="E235" t="str">
        <f t="shared" si="18"/>
        <v xml:space="preserve">    237 : "cat",</v>
      </c>
      <c r="F235">
        <f t="shared" si="19"/>
        <v>237</v>
      </c>
      <c r="G235">
        <f t="shared" si="17"/>
        <v>236</v>
      </c>
      <c r="H235" t="s">
        <v>1107</v>
      </c>
      <c r="I235" t="str">
        <f t="shared" si="20"/>
        <v xml:space="preserve">    236 : "duran-p",</v>
      </c>
    </row>
    <row r="236" spans="3:9">
      <c r="C236">
        <f t="shared" si="21"/>
        <v>238</v>
      </c>
      <c r="D236" t="s">
        <v>479</v>
      </c>
      <c r="E236" t="str">
        <f t="shared" si="18"/>
        <v xml:space="preserve">    238 : "celes-amano",</v>
      </c>
      <c r="F236">
        <f t="shared" si="19"/>
        <v>238</v>
      </c>
      <c r="G236">
        <f t="shared" si="17"/>
        <v>237</v>
      </c>
      <c r="H236" t="s">
        <v>1108</v>
      </c>
      <c r="I236" t="str">
        <f t="shared" si="20"/>
        <v xml:space="preserve">    237 : "dycedarg-p",</v>
      </c>
    </row>
    <row r="237" spans="3:9">
      <c r="C237">
        <f t="shared" si="21"/>
        <v>239</v>
      </c>
      <c r="D237" t="s">
        <v>480</v>
      </c>
      <c r="E237" t="str">
        <f t="shared" si="18"/>
        <v xml:space="preserve">    239 : "celes-beatrix",</v>
      </c>
      <c r="F237">
        <f t="shared" si="19"/>
        <v>239</v>
      </c>
      <c r="G237">
        <f t="shared" si="17"/>
        <v>238</v>
      </c>
      <c r="H237" t="s">
        <v>1109</v>
      </c>
      <c r="I237" t="str">
        <f t="shared" si="20"/>
        <v xml:space="preserve">    238 : "edea-p",</v>
      </c>
    </row>
    <row r="238" spans="3:9">
      <c r="C238">
        <f t="shared" si="21"/>
        <v>240</v>
      </c>
      <c r="D238" t="s">
        <v>481</v>
      </c>
      <c r="E238" t="str">
        <f t="shared" si="18"/>
        <v xml:space="preserve">    240 : "celes-opera",</v>
      </c>
      <c r="F238">
        <f t="shared" si="19"/>
        <v>240</v>
      </c>
      <c r="G238">
        <f t="shared" si="17"/>
        <v>239</v>
      </c>
      <c r="H238" t="s">
        <v>1110</v>
      </c>
      <c r="I238" t="str">
        <f t="shared" si="20"/>
        <v xml:space="preserve">    239 : "edgar-gerad-p",</v>
      </c>
    </row>
    <row r="239" spans="3:9">
      <c r="C239">
        <f t="shared" si="21"/>
        <v>241</v>
      </c>
      <c r="D239" t="s">
        <v>482</v>
      </c>
      <c r="E239" t="str">
        <f t="shared" si="18"/>
        <v xml:space="preserve">    241 : "celes-yuna",</v>
      </c>
      <c r="F239">
        <f t="shared" si="19"/>
        <v>241</v>
      </c>
      <c r="G239">
        <f t="shared" si="17"/>
        <v>240</v>
      </c>
      <c r="H239" t="s">
        <v>1111</v>
      </c>
      <c r="I239" t="str">
        <f t="shared" si="20"/>
        <v xml:space="preserve">    240 : "edge-child-p",</v>
      </c>
    </row>
    <row r="240" spans="3:9">
      <c r="C240">
        <f t="shared" si="21"/>
        <v>242</v>
      </c>
      <c r="D240" t="s">
        <v>483</v>
      </c>
      <c r="E240" t="str">
        <f t="shared" si="18"/>
        <v xml:space="preserve">    242 : "ceodore",</v>
      </c>
      <c r="F240">
        <f t="shared" si="19"/>
        <v>242</v>
      </c>
      <c r="G240">
        <f t="shared" si="17"/>
        <v>241</v>
      </c>
      <c r="H240" t="s">
        <v>1112</v>
      </c>
      <c r="I240" t="str">
        <f t="shared" si="20"/>
        <v xml:space="preserve">    241 : "edge-p",</v>
      </c>
    </row>
    <row r="241" spans="3:9">
      <c r="C241">
        <f t="shared" si="21"/>
        <v>243</v>
      </c>
      <c r="D241" t="s">
        <v>484</v>
      </c>
      <c r="E241" t="str">
        <f t="shared" si="18"/>
        <v xml:space="preserve">    243 : "cfalcon",</v>
      </c>
      <c r="F241">
        <f t="shared" si="19"/>
        <v>243</v>
      </c>
      <c r="G241">
        <f t="shared" si="17"/>
        <v>242</v>
      </c>
      <c r="H241" t="s">
        <v>1113</v>
      </c>
      <c r="I241" t="str">
        <f t="shared" si="20"/>
        <v xml:space="preserve">    242 : "edward-p",</v>
      </c>
    </row>
    <row r="242" spans="3:9">
      <c r="C242">
        <f t="shared" si="21"/>
        <v>244</v>
      </c>
      <c r="D242" t="s">
        <v>485</v>
      </c>
      <c r="E242" t="str">
        <f t="shared" si="18"/>
        <v xml:space="preserve">    244 : "chair",</v>
      </c>
      <c r="F242">
        <f t="shared" si="19"/>
        <v>244</v>
      </c>
      <c r="G242">
        <f t="shared" ref="G242:G305" si="22">G241+1</f>
        <v>243</v>
      </c>
      <c r="H242" t="s">
        <v>1114</v>
      </c>
      <c r="I242" t="str">
        <f t="shared" si="20"/>
        <v xml:space="preserve">    243 : "eggman-p",</v>
      </c>
    </row>
    <row r="243" spans="3:9">
      <c r="C243">
        <f t="shared" si="21"/>
        <v>245</v>
      </c>
      <c r="D243" t="s">
        <v>486</v>
      </c>
      <c r="E243" t="str">
        <f t="shared" si="18"/>
        <v xml:space="preserve">    245 : "chancellor",</v>
      </c>
      <c r="F243">
        <f t="shared" si="19"/>
        <v>245</v>
      </c>
      <c r="G243">
        <f t="shared" si="22"/>
        <v>244</v>
      </c>
      <c r="H243" t="s">
        <v>1115</v>
      </c>
      <c r="I243" t="str">
        <f t="shared" si="20"/>
        <v xml:space="preserve">    244 : "eiko-p",</v>
      </c>
    </row>
    <row r="244" spans="3:9">
      <c r="C244">
        <f t="shared" si="21"/>
        <v>246</v>
      </c>
      <c r="D244" t="s">
        <v>487</v>
      </c>
      <c r="E244" t="str">
        <f t="shared" si="18"/>
        <v xml:space="preserve">    246 : "chaos",</v>
      </c>
      <c r="F244">
        <f t="shared" si="19"/>
        <v>246</v>
      </c>
      <c r="G244">
        <f t="shared" si="22"/>
        <v>245</v>
      </c>
      <c r="H244" t="s">
        <v>1116</v>
      </c>
      <c r="I244" t="str">
        <f t="shared" si="20"/>
        <v xml:space="preserve">    245 : "elarra-p",</v>
      </c>
    </row>
    <row r="245" spans="3:9">
      <c r="C245">
        <f t="shared" si="21"/>
        <v>247</v>
      </c>
      <c r="D245" t="s">
        <v>488</v>
      </c>
      <c r="E245" t="str">
        <f t="shared" si="18"/>
        <v xml:space="preserve">    247 : "chef",</v>
      </c>
      <c r="F245">
        <f t="shared" si="19"/>
        <v>247</v>
      </c>
      <c r="G245">
        <f t="shared" si="22"/>
        <v>246</v>
      </c>
      <c r="H245" t="s">
        <v>1117</v>
      </c>
      <c r="I245" t="str">
        <f t="shared" si="20"/>
        <v xml:space="preserve">    246 : "elder-p",</v>
      </c>
    </row>
    <row r="246" spans="3:9">
      <c r="C246">
        <f t="shared" si="21"/>
        <v>248</v>
      </c>
      <c r="D246" t="s">
        <v>489</v>
      </c>
      <c r="E246" t="str">
        <f t="shared" si="18"/>
        <v xml:space="preserve">    248 : "chemist",</v>
      </c>
      <c r="F246">
        <f t="shared" si="19"/>
        <v>248</v>
      </c>
      <c r="G246">
        <f t="shared" si="22"/>
        <v>247</v>
      </c>
      <c r="H246" t="s">
        <v>1118</v>
      </c>
      <c r="I246" t="str">
        <f t="shared" si="20"/>
        <v xml:space="preserve">    247 : "elena-p",</v>
      </c>
    </row>
    <row r="247" spans="3:9">
      <c r="C247">
        <f t="shared" si="21"/>
        <v>249</v>
      </c>
      <c r="D247" t="s">
        <v>490</v>
      </c>
      <c r="E247" t="str">
        <f t="shared" si="18"/>
        <v xml:space="preserve">    249 : "chen",</v>
      </c>
      <c r="F247">
        <f t="shared" si="19"/>
        <v>249</v>
      </c>
      <c r="G247">
        <f t="shared" si="22"/>
        <v>248</v>
      </c>
      <c r="H247" t="s">
        <v>1119</v>
      </c>
      <c r="I247" t="str">
        <f t="shared" si="20"/>
        <v xml:space="preserve">    248 : "ellone-p",</v>
      </c>
    </row>
    <row r="248" spans="3:9">
      <c r="C248">
        <f t="shared" si="21"/>
        <v>250</v>
      </c>
      <c r="D248" t="s">
        <v>491</v>
      </c>
      <c r="E248" t="str">
        <f t="shared" si="18"/>
        <v xml:space="preserve">    250 : "chocobo",</v>
      </c>
      <c r="F248">
        <f t="shared" si="19"/>
        <v>250</v>
      </c>
      <c r="G248">
        <f t="shared" si="22"/>
        <v>249</v>
      </c>
      <c r="H248" t="s">
        <v>1120</v>
      </c>
      <c r="I248" t="str">
        <f t="shared" si="20"/>
        <v xml:space="preserve">    249 : "emperor-p",</v>
      </c>
    </row>
    <row r="249" spans="3:9">
      <c r="C249">
        <f t="shared" si="21"/>
        <v>251</v>
      </c>
      <c r="D249" t="s">
        <v>492</v>
      </c>
      <c r="E249" t="str">
        <f t="shared" si="18"/>
        <v xml:space="preserve">    251 : "chunli",</v>
      </c>
      <c r="F249">
        <f t="shared" si="19"/>
        <v>251</v>
      </c>
      <c r="G249">
        <f t="shared" si="22"/>
        <v>250</v>
      </c>
      <c r="H249" t="s">
        <v>1121</v>
      </c>
      <c r="I249" t="str">
        <f t="shared" si="20"/>
        <v xml:space="preserve">    250 : "esperterra-p",</v>
      </c>
    </row>
    <row r="250" spans="3:9">
      <c r="C250">
        <f t="shared" si="21"/>
        <v>252</v>
      </c>
      <c r="D250" t="s">
        <v>493</v>
      </c>
      <c r="E250" t="str">
        <f t="shared" si="18"/>
        <v xml:space="preserve">    252 : "chupon",</v>
      </c>
      <c r="F250">
        <f t="shared" si="19"/>
        <v>252</v>
      </c>
      <c r="G250">
        <f t="shared" si="22"/>
        <v>251</v>
      </c>
      <c r="H250" t="s">
        <v>1122</v>
      </c>
      <c r="I250" t="str">
        <f t="shared" si="20"/>
        <v xml:space="preserve">    251 : "esperumaro-p",</v>
      </c>
    </row>
    <row r="251" spans="3:9">
      <c r="C251">
        <f t="shared" si="21"/>
        <v>253</v>
      </c>
      <c r="D251" t="s">
        <v>494</v>
      </c>
      <c r="E251" t="str">
        <f t="shared" si="18"/>
        <v xml:space="preserve">    253 : "cid4",</v>
      </c>
      <c r="F251">
        <f t="shared" si="19"/>
        <v>253</v>
      </c>
      <c r="G251">
        <f t="shared" si="22"/>
        <v>252</v>
      </c>
      <c r="H251" t="s">
        <v>1123</v>
      </c>
      <c r="I251" t="str">
        <f t="shared" si="20"/>
        <v xml:space="preserve">    252 : "excitebiker-p",</v>
      </c>
    </row>
    <row r="252" spans="3:9">
      <c r="C252">
        <f t="shared" si="21"/>
        <v>254</v>
      </c>
      <c r="D252" t="s">
        <v>495</v>
      </c>
      <c r="E252" t="str">
        <f t="shared" si="18"/>
        <v xml:space="preserve">    254 : "cid5",</v>
      </c>
      <c r="F252">
        <f t="shared" si="19"/>
        <v>254</v>
      </c>
      <c r="G252">
        <f t="shared" si="22"/>
        <v>253</v>
      </c>
      <c r="H252" t="s">
        <v>1124</v>
      </c>
      <c r="I252" t="str">
        <f t="shared" si="20"/>
        <v xml:space="preserve">    253 : "exdeath-p",</v>
      </c>
    </row>
    <row r="253" spans="3:9">
      <c r="C253">
        <f t="shared" si="21"/>
        <v>255</v>
      </c>
      <c r="D253" t="s">
        <v>496</v>
      </c>
      <c r="E253" t="str">
        <f t="shared" si="18"/>
        <v xml:space="preserve">    255 : "cid6",</v>
      </c>
      <c r="F253">
        <f t="shared" si="19"/>
        <v>255</v>
      </c>
      <c r="G253">
        <f t="shared" si="22"/>
        <v>254</v>
      </c>
      <c r="H253" t="s">
        <v>1125</v>
      </c>
      <c r="I253" t="str">
        <f t="shared" si="20"/>
        <v xml:space="preserve">    254 : "fairy-p",</v>
      </c>
    </row>
    <row r="254" spans="3:9">
      <c r="C254">
        <f t="shared" si="21"/>
        <v>256</v>
      </c>
      <c r="D254" t="s">
        <v>497</v>
      </c>
      <c r="E254" t="str">
        <f t="shared" si="18"/>
        <v xml:space="preserve">    256 : "cid7",</v>
      </c>
      <c r="F254">
        <f t="shared" si="19"/>
        <v>256</v>
      </c>
      <c r="G254">
        <f t="shared" si="22"/>
        <v>255</v>
      </c>
      <c r="H254" t="s">
        <v>1126</v>
      </c>
      <c r="I254" t="str">
        <f t="shared" si="20"/>
        <v xml:space="preserve">    255 : "falco-p",</v>
      </c>
    </row>
    <row r="255" spans="3:9">
      <c r="C255">
        <f t="shared" si="21"/>
        <v>257</v>
      </c>
      <c r="D255" t="s">
        <v>498</v>
      </c>
      <c r="E255" t="str">
        <f t="shared" si="18"/>
        <v xml:space="preserve">    257 : "cirno",</v>
      </c>
      <c r="F255">
        <f t="shared" si="19"/>
        <v>257</v>
      </c>
      <c r="G255">
        <f t="shared" si="22"/>
        <v>256</v>
      </c>
      <c r="H255" t="s">
        <v>1127</v>
      </c>
      <c r="I255" t="str">
        <f t="shared" si="20"/>
        <v xml:space="preserve">    256 : "fang-p",</v>
      </c>
    </row>
    <row r="256" spans="3:9">
      <c r="C256">
        <f t="shared" si="21"/>
        <v>258</v>
      </c>
      <c r="D256" t="s">
        <v>499</v>
      </c>
      <c r="E256" t="str">
        <f t="shared" si="18"/>
        <v xml:space="preserve">    258 : "cleon",</v>
      </c>
      <c r="F256">
        <f t="shared" si="19"/>
        <v>258</v>
      </c>
      <c r="G256">
        <f t="shared" si="22"/>
        <v>257</v>
      </c>
      <c r="H256" t="s">
        <v>1128</v>
      </c>
      <c r="I256" t="str">
        <f t="shared" si="20"/>
        <v xml:space="preserve">    257 : "faris-p",</v>
      </c>
    </row>
    <row r="257" spans="3:9">
      <c r="C257">
        <f t="shared" si="21"/>
        <v>259</v>
      </c>
      <c r="D257" t="s">
        <v>500</v>
      </c>
      <c r="E257" t="str">
        <f t="shared" si="18"/>
        <v xml:space="preserve">    259 : "cloak",</v>
      </c>
      <c r="F257">
        <f t="shared" si="19"/>
        <v>259</v>
      </c>
      <c r="G257">
        <f t="shared" si="22"/>
        <v>258</v>
      </c>
      <c r="H257" t="s">
        <v>1129</v>
      </c>
      <c r="I257" t="str">
        <f t="shared" si="20"/>
        <v xml:space="preserve">    258 : "figaroguard-p",</v>
      </c>
    </row>
    <row r="258" spans="3:9">
      <c r="C258">
        <f t="shared" si="21"/>
        <v>260</v>
      </c>
      <c r="D258" t="s">
        <v>501</v>
      </c>
      <c r="E258" t="str">
        <f t="shared" si="18"/>
        <v xml:space="preserve">    260 : "clock",</v>
      </c>
      <c r="F258">
        <f t="shared" si="19"/>
        <v>260</v>
      </c>
      <c r="G258">
        <f t="shared" si="22"/>
        <v>259</v>
      </c>
      <c r="H258" t="s">
        <v>1130</v>
      </c>
      <c r="I258" t="str">
        <f t="shared" si="20"/>
        <v xml:space="preserve">    259 : "fighter-ff1-p",</v>
      </c>
    </row>
    <row r="259" spans="3:9">
      <c r="C259">
        <f t="shared" si="21"/>
        <v>261</v>
      </c>
      <c r="D259" t="s">
        <v>502</v>
      </c>
      <c r="E259" t="str">
        <f t="shared" si="18"/>
        <v xml:space="preserve">    261 : "cloud-child",</v>
      </c>
      <c r="F259">
        <f t="shared" si="19"/>
        <v>261</v>
      </c>
      <c r="G259">
        <f t="shared" si="22"/>
        <v>260</v>
      </c>
      <c r="H259" t="s">
        <v>1131</v>
      </c>
      <c r="I259" t="str">
        <f t="shared" si="20"/>
        <v xml:space="preserve">    260 : "fire-p",</v>
      </c>
    </row>
    <row r="260" spans="3:9">
      <c r="C260">
        <f t="shared" si="21"/>
        <v>262</v>
      </c>
      <c r="D260" t="s">
        <v>503</v>
      </c>
      <c r="E260" t="str">
        <f t="shared" si="18"/>
        <v xml:space="preserve">    262 : "cloud-dress",</v>
      </c>
      <c r="F260">
        <f t="shared" si="19"/>
        <v>262</v>
      </c>
      <c r="G260">
        <f t="shared" si="22"/>
        <v>261</v>
      </c>
      <c r="H260" t="s">
        <v>1132</v>
      </c>
      <c r="I260" t="str">
        <f t="shared" si="20"/>
        <v xml:space="preserve">    261 : "firebrand-p",</v>
      </c>
    </row>
    <row r="261" spans="3:9">
      <c r="C261">
        <f t="shared" si="21"/>
        <v>263</v>
      </c>
      <c r="D261" t="s">
        <v>504</v>
      </c>
      <c r="E261" t="str">
        <f t="shared" si="18"/>
        <v xml:space="preserve">    263 : "cloud",</v>
      </c>
      <c r="F261">
        <f t="shared" si="19"/>
        <v>263</v>
      </c>
      <c r="G261">
        <f t="shared" si="22"/>
        <v>262</v>
      </c>
      <c r="H261" t="s">
        <v>1133</v>
      </c>
      <c r="I261" t="str">
        <f t="shared" si="20"/>
        <v xml:space="preserve">    262 : "firion-p",</v>
      </c>
    </row>
    <row r="262" spans="3:9">
      <c r="C262">
        <f t="shared" si="21"/>
        <v>264</v>
      </c>
      <c r="D262" t="s">
        <v>505</v>
      </c>
      <c r="E262" t="str">
        <f t="shared" si="18"/>
        <v xml:space="preserve">    264 : "clyde-edge",</v>
      </c>
      <c r="F262">
        <f t="shared" si="19"/>
        <v>264</v>
      </c>
      <c r="G262">
        <f t="shared" si="22"/>
        <v>263</v>
      </c>
      <c r="H262" t="s">
        <v>1134</v>
      </c>
      <c r="I262" t="str">
        <f t="shared" si="20"/>
        <v xml:space="preserve">    263 : "fish-p",</v>
      </c>
    </row>
    <row r="263" spans="3:9">
      <c r="C263">
        <f t="shared" si="21"/>
        <v>265</v>
      </c>
      <c r="D263" t="s">
        <v>506</v>
      </c>
      <c r="E263" t="str">
        <f t="shared" si="18"/>
        <v xml:space="preserve">    265 : "clyde",</v>
      </c>
      <c r="F263">
        <f t="shared" si="19"/>
        <v>265</v>
      </c>
      <c r="G263">
        <f t="shared" si="22"/>
        <v>264</v>
      </c>
      <c r="H263" t="s">
        <v>1135</v>
      </c>
      <c r="I263" t="str">
        <f t="shared" si="20"/>
        <v xml:space="preserve">    264 : "fluteboy-p",</v>
      </c>
    </row>
    <row r="264" spans="3:9">
      <c r="C264">
        <f t="shared" si="21"/>
        <v>266</v>
      </c>
      <c r="D264" t="s">
        <v>1546</v>
      </c>
      <c r="E264" t="str">
        <f t="shared" ref="E264:E327" si="23">"    "&amp;C264&amp;" : """&amp;D264&amp;""","</f>
        <v xml:space="preserve">    266 : "CrateWIP",</v>
      </c>
      <c r="F264">
        <f t="shared" si="19"/>
        <v>266</v>
      </c>
      <c r="G264">
        <f t="shared" si="22"/>
        <v>265</v>
      </c>
      <c r="H264" t="s">
        <v>1136</v>
      </c>
      <c r="I264" t="str">
        <f t="shared" si="20"/>
        <v xml:space="preserve">    265 : "fouroldmen-p",</v>
      </c>
    </row>
    <row r="265" spans="3:9">
      <c r="C265">
        <f t="shared" si="21"/>
        <v>267</v>
      </c>
      <c r="D265" t="s">
        <v>507</v>
      </c>
      <c r="E265" t="str">
        <f t="shared" si="23"/>
        <v xml:space="preserve">    267 : "crono",</v>
      </c>
      <c r="F265">
        <f t="shared" si="19"/>
        <v>267</v>
      </c>
      <c r="G265">
        <f t="shared" si="22"/>
        <v>266</v>
      </c>
      <c r="H265" t="s">
        <v>1137</v>
      </c>
      <c r="I265" t="str">
        <f t="shared" si="20"/>
        <v xml:space="preserve">    266 : "fran-p",</v>
      </c>
    </row>
    <row r="266" spans="3:9">
      <c r="C266">
        <f t="shared" si="21"/>
        <v>268</v>
      </c>
      <c r="D266" t="s">
        <v>508</v>
      </c>
      <c r="E266" t="str">
        <f t="shared" si="23"/>
        <v xml:space="preserve">    268 : "cucco",</v>
      </c>
      <c r="F266">
        <f t="shared" si="19"/>
        <v>268</v>
      </c>
      <c r="G266">
        <f t="shared" si="22"/>
        <v>267</v>
      </c>
      <c r="H266" t="s">
        <v>1138</v>
      </c>
      <c r="I266" t="str">
        <f t="shared" si="20"/>
        <v xml:space="preserve">    267 : "freya-p",</v>
      </c>
    </row>
    <row r="267" spans="3:9">
      <c r="C267">
        <f t="shared" si="21"/>
        <v>269</v>
      </c>
      <c r="D267" t="s">
        <v>509</v>
      </c>
      <c r="E267" t="str">
        <f t="shared" si="23"/>
        <v xml:space="preserve">    269 : "cultist",</v>
      </c>
      <c r="F267">
        <f t="shared" si="19"/>
        <v>269</v>
      </c>
      <c r="G267">
        <f t="shared" si="22"/>
        <v>268</v>
      </c>
      <c r="H267" t="s">
        <v>1139</v>
      </c>
      <c r="I267" t="str">
        <f t="shared" si="20"/>
        <v xml:space="preserve">    268 : "frieza-p",</v>
      </c>
    </row>
    <row r="268" spans="3:9">
      <c r="C268">
        <f t="shared" si="21"/>
        <v>270</v>
      </c>
      <c r="D268" t="s">
        <v>510</v>
      </c>
      <c r="E268" t="str">
        <f t="shared" si="23"/>
        <v xml:space="preserve">    270 : "cyan-auron",</v>
      </c>
      <c r="F268">
        <f t="shared" si="19"/>
        <v>270</v>
      </c>
      <c r="G268">
        <f t="shared" si="22"/>
        <v>269</v>
      </c>
      <c r="H268" t="s">
        <v>1140</v>
      </c>
      <c r="I268" t="str">
        <f t="shared" si="20"/>
        <v xml:space="preserve">    269 : "frisk-p",</v>
      </c>
    </row>
    <row r="269" spans="3:9">
      <c r="C269">
        <f t="shared" si="21"/>
        <v>271</v>
      </c>
      <c r="D269" t="s">
        <v>511</v>
      </c>
      <c r="E269" t="str">
        <f t="shared" si="23"/>
        <v xml:space="preserve">    271 : "cyan-cape",</v>
      </c>
      <c r="F269">
        <f t="shared" si="19"/>
        <v>271</v>
      </c>
      <c r="G269">
        <f t="shared" si="22"/>
        <v>270</v>
      </c>
      <c r="H269" t="s">
        <v>1141</v>
      </c>
      <c r="I269" t="str">
        <f t="shared" si="20"/>
        <v xml:space="preserve">    270 : "frog-p",</v>
      </c>
    </row>
    <row r="270" spans="3:9">
      <c r="C270">
        <f t="shared" si="21"/>
        <v>272</v>
      </c>
      <c r="D270" t="s">
        <v>512</v>
      </c>
      <c r="E270" t="str">
        <f t="shared" si="23"/>
        <v xml:space="preserve">    272 : "cyan-judge",</v>
      </c>
      <c r="F270">
        <f t="shared" si="19"/>
        <v>272</v>
      </c>
      <c r="G270">
        <f t="shared" si="22"/>
        <v>271</v>
      </c>
      <c r="H270" t="s">
        <v>1142</v>
      </c>
      <c r="I270" t="str">
        <f t="shared" si="20"/>
        <v xml:space="preserve">    271 : "froggy-p",</v>
      </c>
    </row>
    <row r="271" spans="3:9">
      <c r="C271">
        <f t="shared" si="21"/>
        <v>273</v>
      </c>
      <c r="D271" t="s">
        <v>513</v>
      </c>
      <c r="E271" t="str">
        <f t="shared" si="23"/>
        <v xml:space="preserve">    273 : "cyan-leo",</v>
      </c>
      <c r="F271">
        <f t="shared" si="19"/>
        <v>273</v>
      </c>
      <c r="G271">
        <f t="shared" si="22"/>
        <v>272</v>
      </c>
      <c r="H271" t="s">
        <v>1143</v>
      </c>
      <c r="I271" t="str">
        <f t="shared" si="20"/>
        <v xml:space="preserve">    272 : "frogster-p",</v>
      </c>
    </row>
    <row r="272" spans="3:9">
      <c r="C272">
        <f t="shared" si="21"/>
        <v>274</v>
      </c>
      <c r="D272" t="s">
        <v>514</v>
      </c>
      <c r="E272" t="str">
        <f t="shared" si="23"/>
        <v xml:space="preserve">    274 : "cyan-siegfried",</v>
      </c>
      <c r="F272">
        <f t="shared" si="19"/>
        <v>274</v>
      </c>
      <c r="G272">
        <f t="shared" si="22"/>
        <v>273</v>
      </c>
      <c r="H272" t="s">
        <v>1144</v>
      </c>
      <c r="I272" t="str">
        <f t="shared" si="20"/>
        <v xml:space="preserve">    273 : "fusoya-p",</v>
      </c>
    </row>
    <row r="273" spans="3:9">
      <c r="C273">
        <f t="shared" si="21"/>
        <v>275</v>
      </c>
      <c r="D273" t="s">
        <v>515</v>
      </c>
      <c r="E273" t="str">
        <f t="shared" si="23"/>
        <v xml:space="preserve">    275 : "cyan-t",</v>
      </c>
      <c r="F273">
        <f t="shared" si="19"/>
        <v>275</v>
      </c>
      <c r="G273">
        <f t="shared" si="22"/>
        <v>274</v>
      </c>
      <c r="H273" t="s">
        <v>1145</v>
      </c>
      <c r="I273" t="str">
        <f t="shared" si="20"/>
        <v xml:space="preserve">    274 : "gabranth-p",</v>
      </c>
    </row>
    <row r="274" spans="3:9">
      <c r="C274">
        <f t="shared" si="21"/>
        <v>276</v>
      </c>
      <c r="D274" t="s">
        <v>516</v>
      </c>
      <c r="E274" t="str">
        <f t="shared" si="23"/>
        <v xml:space="preserve">    276 : "cyan-tenzen",</v>
      </c>
      <c r="F274">
        <f t="shared" si="19"/>
        <v>276</v>
      </c>
      <c r="G274">
        <f t="shared" si="22"/>
        <v>275</v>
      </c>
      <c r="H274" t="s">
        <v>1146</v>
      </c>
      <c r="I274" t="str">
        <f t="shared" si="20"/>
        <v xml:space="preserve">    275 : "gaffgarion-p",</v>
      </c>
    </row>
    <row r="275" spans="3:9">
      <c r="C275">
        <f t="shared" si="21"/>
        <v>277</v>
      </c>
      <c r="D275" t="s">
        <v>517</v>
      </c>
      <c r="E275" t="str">
        <f t="shared" si="23"/>
        <v xml:space="preserve">    277 : "cyrax",</v>
      </c>
      <c r="F275">
        <f t="shared" si="19"/>
        <v>277</v>
      </c>
      <c r="G275">
        <f t="shared" si="22"/>
        <v>276</v>
      </c>
      <c r="H275" t="s">
        <v>1147</v>
      </c>
      <c r="I275" t="str">
        <f t="shared" si="20"/>
        <v xml:space="preserve">    276 : "gaia-evo-p",</v>
      </c>
    </row>
    <row r="276" spans="3:9">
      <c r="C276">
        <f t="shared" si="21"/>
        <v>278</v>
      </c>
      <c r="D276" t="s">
        <v>518</v>
      </c>
      <c r="E276" t="str">
        <f t="shared" si="23"/>
        <v xml:space="preserve">    278 : "cyrus",</v>
      </c>
      <c r="F276">
        <f t="shared" si="19"/>
        <v>278</v>
      </c>
      <c r="G276">
        <f t="shared" si="22"/>
        <v>277</v>
      </c>
      <c r="H276" t="s">
        <v>1148</v>
      </c>
      <c r="I276" t="str">
        <f t="shared" si="20"/>
        <v xml:space="preserve">    277 : "galbadiansoldier-p",</v>
      </c>
    </row>
    <row r="277" spans="3:9">
      <c r="C277">
        <f t="shared" si="21"/>
        <v>279</v>
      </c>
      <c r="D277" t="s">
        <v>519</v>
      </c>
      <c r="E277" t="str">
        <f t="shared" si="23"/>
        <v xml:space="preserve">    279 : "dajh",</v>
      </c>
      <c r="F277">
        <f t="shared" si="19"/>
        <v>279</v>
      </c>
      <c r="G277">
        <f t="shared" si="22"/>
        <v>278</v>
      </c>
      <c r="H277" t="s">
        <v>1149</v>
      </c>
      <c r="I277" t="str">
        <f t="shared" si="20"/>
        <v xml:space="preserve">    278 : "galuf-p",</v>
      </c>
    </row>
    <row r="278" spans="3:9">
      <c r="C278">
        <f t="shared" si="21"/>
        <v>280</v>
      </c>
      <c r="D278" t="s">
        <v>520</v>
      </c>
      <c r="E278" t="str">
        <f t="shared" si="23"/>
        <v xml:space="preserve">    280 : "dancer",</v>
      </c>
      <c r="F278">
        <f t="shared" si="19"/>
        <v>280</v>
      </c>
      <c r="G278">
        <f t="shared" si="22"/>
        <v>279</v>
      </c>
      <c r="H278" t="s">
        <v>1150</v>
      </c>
      <c r="I278" t="str">
        <f t="shared" si="20"/>
        <v xml:space="preserve">    279 : "garland-p",</v>
      </c>
    </row>
    <row r="279" spans="3:9">
      <c r="C279">
        <f t="shared" si="21"/>
        <v>281</v>
      </c>
      <c r="D279" t="s">
        <v>521</v>
      </c>
      <c r="E279" t="str">
        <f t="shared" si="23"/>
        <v xml:space="preserve">    281 : "dark-knight",</v>
      </c>
      <c r="F279">
        <f t="shared" si="19"/>
        <v>281</v>
      </c>
      <c r="G279">
        <f t="shared" si="22"/>
        <v>280</v>
      </c>
      <c r="H279" t="s">
        <v>1151</v>
      </c>
      <c r="I279" t="str">
        <f t="shared" si="20"/>
        <v xml:space="preserve">    280 : "garnet-p",</v>
      </c>
    </row>
    <row r="280" spans="3:9">
      <c r="C280">
        <f t="shared" si="21"/>
        <v>282</v>
      </c>
      <c r="D280" t="s">
        <v>522</v>
      </c>
      <c r="E280" t="str">
        <f t="shared" si="23"/>
        <v xml:space="preserve">    282 : "darkelf",</v>
      </c>
      <c r="F280">
        <f t="shared" si="19"/>
        <v>282</v>
      </c>
      <c r="G280">
        <f t="shared" si="22"/>
        <v>281</v>
      </c>
      <c r="H280" t="s">
        <v>1152</v>
      </c>
      <c r="I280" t="str">
        <f t="shared" si="20"/>
        <v xml:space="preserve">    281 : "gau-fancy-p",</v>
      </c>
    </row>
    <row r="281" spans="3:9">
      <c r="C281">
        <f t="shared" si="21"/>
        <v>283</v>
      </c>
      <c r="D281" t="s">
        <v>523</v>
      </c>
      <c r="E281" t="str">
        <f t="shared" si="23"/>
        <v xml:space="preserve">    283 : "daryl",</v>
      </c>
      <c r="F281">
        <f t="shared" si="19"/>
        <v>283</v>
      </c>
      <c r="G281">
        <f t="shared" si="22"/>
        <v>282</v>
      </c>
      <c r="H281" t="s">
        <v>1153</v>
      </c>
      <c r="I281" t="str">
        <f t="shared" si="20"/>
        <v xml:space="preserve">    282 : "gau-shinything-p",</v>
      </c>
    </row>
    <row r="282" spans="3:9">
      <c r="C282">
        <f t="shared" si="21"/>
        <v>284</v>
      </c>
      <c r="D282" t="s">
        <v>524</v>
      </c>
      <c r="E282" t="str">
        <f t="shared" si="23"/>
        <v xml:space="preserve">    284 : "datto",</v>
      </c>
      <c r="F282">
        <f t="shared" si="19"/>
        <v>284</v>
      </c>
      <c r="G282">
        <f t="shared" si="22"/>
        <v>283</v>
      </c>
      <c r="H282" t="s">
        <v>1154</v>
      </c>
      <c r="I282" t="str">
        <f t="shared" si="20"/>
        <v xml:space="preserve">    283 : "gau-zidane-p",</v>
      </c>
    </row>
    <row r="283" spans="3:9">
      <c r="C283">
        <f t="shared" si="21"/>
        <v>285</v>
      </c>
      <c r="D283" t="s">
        <v>525</v>
      </c>
      <c r="E283" t="str">
        <f t="shared" si="23"/>
        <v xml:space="preserve">    285 : "deathadder",</v>
      </c>
      <c r="F283">
        <f t="shared" si="19"/>
        <v>285</v>
      </c>
      <c r="G283">
        <f t="shared" si="22"/>
        <v>284</v>
      </c>
      <c r="H283" t="s">
        <v>1155</v>
      </c>
      <c r="I283" t="str">
        <f t="shared" si="20"/>
        <v xml:space="preserve">    284 : "genesis-p",</v>
      </c>
    </row>
    <row r="284" spans="3:9">
      <c r="C284">
        <f t="shared" si="21"/>
        <v>286</v>
      </c>
      <c r="D284" t="s">
        <v>526</v>
      </c>
      <c r="E284" t="str">
        <f t="shared" si="23"/>
        <v xml:space="preserve">    286 : "decil",</v>
      </c>
      <c r="F284">
        <f t="shared" si="19"/>
        <v>286</v>
      </c>
      <c r="G284">
        <f t="shared" si="22"/>
        <v>285</v>
      </c>
      <c r="H284" t="s">
        <v>1156</v>
      </c>
      <c r="I284" t="str">
        <f t="shared" si="20"/>
        <v xml:space="preserve">    285 : "geno-p",</v>
      </c>
    </row>
    <row r="285" spans="3:9">
      <c r="C285">
        <f t="shared" si="21"/>
        <v>287</v>
      </c>
      <c r="D285" t="s">
        <v>527</v>
      </c>
      <c r="E285" t="str">
        <f t="shared" si="23"/>
        <v xml:space="preserve">    287 : "delita-armor",</v>
      </c>
      <c r="F285">
        <f t="shared" si="19"/>
        <v>287</v>
      </c>
      <c r="G285">
        <f t="shared" si="22"/>
        <v>286</v>
      </c>
      <c r="H285" t="s">
        <v>1157</v>
      </c>
      <c r="I285" t="str">
        <f t="shared" si="20"/>
        <v xml:space="preserve">    286 : "gestahl-p",</v>
      </c>
    </row>
    <row r="286" spans="3:9">
      <c r="C286">
        <f t="shared" si="21"/>
        <v>288</v>
      </c>
      <c r="D286" t="s">
        <v>528</v>
      </c>
      <c r="E286" t="str">
        <f t="shared" si="23"/>
        <v xml:space="preserve">    288 : "delita",</v>
      </c>
      <c r="F286">
        <f t="shared" si="19"/>
        <v>288</v>
      </c>
      <c r="G286">
        <f t="shared" si="22"/>
        <v>287</v>
      </c>
      <c r="H286" t="s">
        <v>1158</v>
      </c>
      <c r="I286" t="str">
        <f t="shared" si="20"/>
        <v xml:space="preserve">    287 : "gilgamesh-p",</v>
      </c>
    </row>
    <row r="287" spans="3:9">
      <c r="C287">
        <f t="shared" si="21"/>
        <v>289</v>
      </c>
      <c r="D287" t="s">
        <v>529</v>
      </c>
      <c r="E287" t="str">
        <f t="shared" si="23"/>
        <v xml:space="preserve">    289 : "desch",</v>
      </c>
      <c r="F287">
        <f t="shared" si="19"/>
        <v>289</v>
      </c>
      <c r="G287">
        <f t="shared" si="22"/>
        <v>288</v>
      </c>
      <c r="H287" t="s">
        <v>1159</v>
      </c>
      <c r="I287" t="str">
        <f t="shared" si="20"/>
        <v xml:space="preserve">    288 : "gilius-p",</v>
      </c>
    </row>
    <row r="288" spans="3:9">
      <c r="C288">
        <f t="shared" si="21"/>
        <v>290</v>
      </c>
      <c r="D288" t="s">
        <v>530</v>
      </c>
      <c r="E288" t="str">
        <f t="shared" si="23"/>
        <v xml:space="preserve">    290 : "devout",</v>
      </c>
      <c r="F288">
        <f t="shared" ref="F288:F351" si="24">C288</f>
        <v>290</v>
      </c>
      <c r="G288">
        <f t="shared" si="22"/>
        <v>289</v>
      </c>
      <c r="H288" t="s">
        <v>1160</v>
      </c>
      <c r="I288" t="str">
        <f t="shared" ref="I288:I351" si="25">"    "&amp;G288&amp;" : """&amp;H288&amp;""","</f>
        <v xml:space="preserve">    289 : "girl-p",</v>
      </c>
    </row>
    <row r="289" spans="3:9">
      <c r="C289">
        <f t="shared" ref="C289:C352" si="26">C288+1</f>
        <v>291</v>
      </c>
      <c r="D289" t="s">
        <v>531</v>
      </c>
      <c r="E289" t="str">
        <f t="shared" si="23"/>
        <v xml:space="preserve">    291 : "dogstahl",</v>
      </c>
      <c r="F289">
        <f t="shared" si="24"/>
        <v>291</v>
      </c>
      <c r="G289">
        <f t="shared" si="22"/>
        <v>290</v>
      </c>
      <c r="H289" t="s">
        <v>1161</v>
      </c>
      <c r="I289" t="str">
        <f t="shared" si="25"/>
        <v xml:space="preserve">    290 : "goku-p",</v>
      </c>
    </row>
    <row r="290" spans="3:9">
      <c r="C290">
        <f t="shared" si="26"/>
        <v>292</v>
      </c>
      <c r="D290" t="s">
        <v>532</v>
      </c>
      <c r="E290" t="str">
        <f t="shared" si="23"/>
        <v xml:space="preserve">    292 : "dona",</v>
      </c>
      <c r="F290">
        <f t="shared" si="24"/>
        <v>292</v>
      </c>
      <c r="G290">
        <f t="shared" si="22"/>
        <v>291</v>
      </c>
      <c r="H290" t="s">
        <v>1162</v>
      </c>
      <c r="I290" t="str">
        <f t="shared" si="25"/>
        <v xml:space="preserve">    291 : "golbez-p",</v>
      </c>
    </row>
    <row r="291" spans="3:9">
      <c r="C291">
        <f t="shared" si="26"/>
        <v>293</v>
      </c>
      <c r="D291" t="s">
        <v>533</v>
      </c>
      <c r="E291" t="str">
        <f t="shared" si="23"/>
        <v xml:space="preserve">    293 : "doncorneo",</v>
      </c>
      <c r="F291">
        <f t="shared" si="24"/>
        <v>293</v>
      </c>
      <c r="G291">
        <f t="shared" si="22"/>
        <v>292</v>
      </c>
      <c r="H291" t="s">
        <v>1163</v>
      </c>
      <c r="I291" t="str">
        <f t="shared" si="25"/>
        <v xml:space="preserve">    292 : "gomezaddams-p",</v>
      </c>
    </row>
    <row r="292" spans="3:9">
      <c r="C292">
        <f t="shared" si="26"/>
        <v>294</v>
      </c>
      <c r="D292" t="s">
        <v>534</v>
      </c>
      <c r="E292" t="str">
        <f t="shared" si="23"/>
        <v xml:space="preserve">    294 : "donkeykong",</v>
      </c>
      <c r="F292">
        <f t="shared" si="24"/>
        <v>294</v>
      </c>
      <c r="G292">
        <f t="shared" si="22"/>
        <v>293</v>
      </c>
      <c r="H292" t="s">
        <v>1164</v>
      </c>
      <c r="I292" t="str">
        <f t="shared" si="25"/>
        <v xml:space="preserve">    293 : "gordon-p",</v>
      </c>
    </row>
    <row r="293" spans="3:9">
      <c r="C293">
        <f t="shared" si="26"/>
        <v>295</v>
      </c>
      <c r="D293" t="s">
        <v>535</v>
      </c>
      <c r="E293" t="str">
        <f t="shared" si="23"/>
        <v xml:space="preserve">    295 : "doomguy",</v>
      </c>
      <c r="F293">
        <f t="shared" si="24"/>
        <v>295</v>
      </c>
      <c r="G293">
        <f t="shared" si="22"/>
        <v>294</v>
      </c>
      <c r="H293" t="s">
        <v>1165</v>
      </c>
      <c r="I293" t="str">
        <f t="shared" si="25"/>
        <v xml:space="preserve">    294 : "grandma-p",</v>
      </c>
    </row>
    <row r="294" spans="3:9">
      <c r="C294">
        <f t="shared" si="26"/>
        <v>296</v>
      </c>
      <c r="D294" t="s">
        <v>536</v>
      </c>
      <c r="E294" t="str">
        <f t="shared" si="23"/>
        <v xml:space="preserve">    296 : "door",</v>
      </c>
      <c r="F294">
        <f t="shared" si="24"/>
        <v>296</v>
      </c>
      <c r="G294">
        <f t="shared" si="22"/>
        <v>295</v>
      </c>
      <c r="H294" t="s">
        <v>1166</v>
      </c>
      <c r="I294" t="str">
        <f t="shared" si="25"/>
        <v xml:space="preserve">    295 : "guts-p",</v>
      </c>
    </row>
    <row r="295" spans="3:9">
      <c r="C295">
        <f t="shared" si="26"/>
        <v>297</v>
      </c>
      <c r="D295" t="s">
        <v>537</v>
      </c>
      <c r="E295" t="str">
        <f t="shared" si="23"/>
        <v xml:space="preserve">    297 : "dorgann",</v>
      </c>
      <c r="F295">
        <f t="shared" si="24"/>
        <v>297</v>
      </c>
      <c r="G295">
        <f t="shared" si="22"/>
        <v>296</v>
      </c>
      <c r="H295" t="s">
        <v>1167</v>
      </c>
      <c r="I295" t="str">
        <f t="shared" si="25"/>
        <v xml:space="preserve">    296 : "guy-p",</v>
      </c>
    </row>
    <row r="296" spans="3:9">
      <c r="C296">
        <f t="shared" si="26"/>
        <v>298</v>
      </c>
      <c r="D296" t="s">
        <v>538</v>
      </c>
      <c r="E296" t="str">
        <f t="shared" si="23"/>
        <v xml:space="preserve">    298 : "draco",</v>
      </c>
      <c r="F296">
        <f t="shared" si="24"/>
        <v>298</v>
      </c>
      <c r="G296">
        <f t="shared" si="22"/>
        <v>297</v>
      </c>
      <c r="H296" t="s">
        <v>1168</v>
      </c>
      <c r="I296" t="str">
        <f t="shared" si="25"/>
        <v xml:space="preserve">    297 : "hamlet-p",</v>
      </c>
    </row>
    <row r="297" spans="3:9">
      <c r="C297">
        <f t="shared" si="26"/>
        <v>299</v>
      </c>
      <c r="D297" t="s">
        <v>539</v>
      </c>
      <c r="E297" t="str">
        <f t="shared" si="23"/>
        <v xml:space="preserve">    299 : "dragon",</v>
      </c>
      <c r="F297">
        <f t="shared" si="24"/>
        <v>299</v>
      </c>
      <c r="G297">
        <f t="shared" si="22"/>
        <v>298</v>
      </c>
      <c r="H297" t="s">
        <v>1169</v>
      </c>
      <c r="I297" t="str">
        <f t="shared" si="25"/>
        <v xml:space="preserve">    298 : "hashirama-p",</v>
      </c>
    </row>
    <row r="298" spans="3:9">
      <c r="C298">
        <f t="shared" si="26"/>
        <v>300</v>
      </c>
      <c r="D298" t="s">
        <v>540</v>
      </c>
      <c r="E298" t="str">
        <f t="shared" si="23"/>
        <v xml:space="preserve">    300 : "drmog",</v>
      </c>
      <c r="F298">
        <f t="shared" si="24"/>
        <v>300</v>
      </c>
      <c r="G298">
        <f t="shared" si="22"/>
        <v>299</v>
      </c>
      <c r="H298" t="s">
        <v>1170</v>
      </c>
      <c r="I298" t="str">
        <f t="shared" si="25"/>
        <v xml:space="preserve">    299 : "headdy-p",</v>
      </c>
    </row>
    <row r="299" spans="3:9">
      <c r="C299">
        <f t="shared" si="26"/>
        <v>301</v>
      </c>
      <c r="D299" t="s">
        <v>541</v>
      </c>
      <c r="E299" t="str">
        <f t="shared" si="23"/>
        <v xml:space="preserve">    301 : "duran",</v>
      </c>
      <c r="F299">
        <f t="shared" si="24"/>
        <v>301</v>
      </c>
      <c r="G299">
        <f t="shared" si="22"/>
        <v>300</v>
      </c>
      <c r="H299" t="s">
        <v>1171</v>
      </c>
      <c r="I299" t="str">
        <f t="shared" si="25"/>
        <v xml:space="preserve">    300 : "hidan-p",</v>
      </c>
    </row>
    <row r="300" spans="3:9">
      <c r="C300">
        <f t="shared" si="26"/>
        <v>302</v>
      </c>
      <c r="D300" t="s">
        <v>542</v>
      </c>
      <c r="E300" t="str">
        <f t="shared" si="23"/>
        <v xml:space="preserve">    302 : "dycedarg",</v>
      </c>
      <c r="F300">
        <f t="shared" si="24"/>
        <v>302</v>
      </c>
      <c r="G300">
        <f t="shared" si="22"/>
        <v>301</v>
      </c>
      <c r="H300" t="s">
        <v>1172</v>
      </c>
      <c r="I300" t="str">
        <f t="shared" si="25"/>
        <v xml:space="preserve">    301 : "hilda-p",</v>
      </c>
    </row>
    <row r="301" spans="3:9">
      <c r="C301">
        <f t="shared" si="26"/>
        <v>303</v>
      </c>
      <c r="D301" t="s">
        <v>543</v>
      </c>
      <c r="E301" t="str">
        <f t="shared" si="23"/>
        <v xml:space="preserve">    303 : "edea",</v>
      </c>
      <c r="F301">
        <f t="shared" si="24"/>
        <v>303</v>
      </c>
      <c r="G301">
        <f t="shared" si="22"/>
        <v>302</v>
      </c>
      <c r="H301" t="s">
        <v>1173</v>
      </c>
      <c r="I301" t="str">
        <f t="shared" si="25"/>
        <v xml:space="preserve">    302 : "hojo-p",</v>
      </c>
    </row>
    <row r="302" spans="3:9">
      <c r="C302">
        <f t="shared" si="26"/>
        <v>304</v>
      </c>
      <c r="D302" t="s">
        <v>544</v>
      </c>
      <c r="E302" t="str">
        <f t="shared" si="23"/>
        <v xml:space="preserve">    304 : "edgar-gerad",</v>
      </c>
      <c r="F302">
        <f t="shared" si="24"/>
        <v>304</v>
      </c>
      <c r="G302">
        <f t="shared" si="22"/>
        <v>303</v>
      </c>
      <c r="H302" t="s">
        <v>1174</v>
      </c>
      <c r="I302" t="str">
        <f t="shared" si="25"/>
        <v xml:space="preserve">    303 : "holydragoon-p",</v>
      </c>
    </row>
    <row r="303" spans="3:9">
      <c r="C303">
        <f t="shared" si="26"/>
        <v>305</v>
      </c>
      <c r="D303" t="s">
        <v>545</v>
      </c>
      <c r="E303" t="str">
        <f t="shared" si="23"/>
        <v xml:space="preserve">    305 : "edge-child",</v>
      </c>
      <c r="F303">
        <f t="shared" si="24"/>
        <v>305</v>
      </c>
      <c r="G303">
        <f t="shared" si="22"/>
        <v>304</v>
      </c>
      <c r="H303" t="s">
        <v>1175</v>
      </c>
      <c r="I303" t="str">
        <f t="shared" si="25"/>
        <v xml:space="preserve">    304 : "hoodedman-p",</v>
      </c>
    </row>
    <row r="304" spans="3:9">
      <c r="C304">
        <f t="shared" si="26"/>
        <v>306</v>
      </c>
      <c r="D304" t="s">
        <v>546</v>
      </c>
      <c r="E304" t="str">
        <f t="shared" si="23"/>
        <v xml:space="preserve">    306 : "edge",</v>
      </c>
      <c r="F304">
        <f t="shared" si="24"/>
        <v>306</v>
      </c>
      <c r="G304">
        <f t="shared" si="22"/>
        <v>305</v>
      </c>
      <c r="H304" t="s">
        <v>1176</v>
      </c>
      <c r="I304" t="str">
        <f t="shared" si="25"/>
        <v xml:space="preserve">    305 : "hope-p",</v>
      </c>
    </row>
    <row r="305" spans="3:9">
      <c r="C305">
        <f t="shared" si="26"/>
        <v>307</v>
      </c>
      <c r="D305" t="s">
        <v>547</v>
      </c>
      <c r="E305" t="str">
        <f t="shared" si="23"/>
        <v xml:space="preserve">    307 : "edward",</v>
      </c>
      <c r="F305">
        <f t="shared" si="24"/>
        <v>307</v>
      </c>
      <c r="G305">
        <f t="shared" si="22"/>
        <v>306</v>
      </c>
      <c r="H305" t="s">
        <v>1177</v>
      </c>
      <c r="I305" t="str">
        <f t="shared" si="25"/>
        <v xml:space="preserve">    306 : "hotaru-p",</v>
      </c>
    </row>
    <row r="306" spans="3:9">
      <c r="C306">
        <f t="shared" si="26"/>
        <v>308</v>
      </c>
      <c r="D306" t="s">
        <v>548</v>
      </c>
      <c r="E306" t="str">
        <f t="shared" si="23"/>
        <v xml:space="preserve">    308 : "eggman",</v>
      </c>
      <c r="F306">
        <f t="shared" si="24"/>
        <v>308</v>
      </c>
      <c r="G306">
        <f t="shared" ref="G306:G369" si="27">G305+1</f>
        <v>307</v>
      </c>
      <c r="H306" t="s">
        <v>1178</v>
      </c>
      <c r="I306" t="str">
        <f t="shared" si="25"/>
        <v xml:space="preserve">    307 : "iffy-p",</v>
      </c>
    </row>
    <row r="307" spans="3:9">
      <c r="C307">
        <f t="shared" si="26"/>
        <v>309</v>
      </c>
      <c r="D307" t="s">
        <v>549</v>
      </c>
      <c r="E307" t="str">
        <f t="shared" si="23"/>
        <v xml:space="preserve">    309 : "eiko",</v>
      </c>
      <c r="F307">
        <f t="shared" si="24"/>
        <v>309</v>
      </c>
      <c r="G307">
        <f t="shared" si="27"/>
        <v>308</v>
      </c>
      <c r="H307" t="s">
        <v>1179</v>
      </c>
      <c r="I307" t="str">
        <f t="shared" si="25"/>
        <v xml:space="preserve">    308 : "illya-prisma-p",</v>
      </c>
    </row>
    <row r="308" spans="3:9">
      <c r="C308">
        <f t="shared" si="26"/>
        <v>310</v>
      </c>
      <c r="D308" t="s">
        <v>550</v>
      </c>
      <c r="E308" t="str">
        <f t="shared" si="23"/>
        <v xml:space="preserve">    310 : "elarra",</v>
      </c>
      <c r="F308">
        <f t="shared" si="24"/>
        <v>310</v>
      </c>
      <c r="G308">
        <f t="shared" si="27"/>
        <v>309</v>
      </c>
      <c r="H308" t="s">
        <v>1180</v>
      </c>
      <c r="I308" t="str">
        <f t="shared" si="25"/>
        <v xml:space="preserve">    309 : "imperialsoldier-amano-p",</v>
      </c>
    </row>
    <row r="309" spans="3:9">
      <c r="C309">
        <f t="shared" si="26"/>
        <v>311</v>
      </c>
      <c r="D309" t="s">
        <v>551</v>
      </c>
      <c r="E309" t="str">
        <f t="shared" si="23"/>
        <v xml:space="preserve">    311 : "elder",</v>
      </c>
      <c r="F309">
        <f t="shared" si="24"/>
        <v>311</v>
      </c>
      <c r="G309">
        <f t="shared" si="27"/>
        <v>310</v>
      </c>
      <c r="H309" t="s">
        <v>1181</v>
      </c>
      <c r="I309" t="str">
        <f t="shared" si="25"/>
        <v xml:space="preserve">    310 : "imperialsoldier-female-face-p",</v>
      </c>
    </row>
    <row r="310" spans="3:9">
      <c r="C310">
        <f t="shared" si="26"/>
        <v>312</v>
      </c>
      <c r="D310" t="s">
        <v>552</v>
      </c>
      <c r="E310" t="str">
        <f t="shared" si="23"/>
        <v xml:space="preserve">    312 : "elena",</v>
      </c>
      <c r="F310">
        <f t="shared" si="24"/>
        <v>312</v>
      </c>
      <c r="G310">
        <f t="shared" si="27"/>
        <v>311</v>
      </c>
      <c r="H310" t="s">
        <v>1182</v>
      </c>
      <c r="I310" t="str">
        <f t="shared" si="25"/>
        <v xml:space="preserve">    311 : "imperialsoldier-female-p",</v>
      </c>
    </row>
    <row r="311" spans="3:9">
      <c r="C311">
        <f t="shared" si="26"/>
        <v>313</v>
      </c>
      <c r="D311" t="s">
        <v>553</v>
      </c>
      <c r="E311" t="str">
        <f t="shared" si="23"/>
        <v xml:space="preserve">    313 : "ellone",</v>
      </c>
      <c r="F311">
        <f t="shared" si="24"/>
        <v>313</v>
      </c>
      <c r="G311">
        <f t="shared" si="27"/>
        <v>312</v>
      </c>
      <c r="H311" t="s">
        <v>1183</v>
      </c>
      <c r="I311" t="str">
        <f t="shared" si="25"/>
        <v xml:space="preserve">    312 : "impresario-p",</v>
      </c>
    </row>
    <row r="312" spans="3:9">
      <c r="C312">
        <f t="shared" si="26"/>
        <v>314</v>
      </c>
      <c r="D312" t="s">
        <v>554</v>
      </c>
      <c r="E312" t="str">
        <f t="shared" si="23"/>
        <v xml:space="preserve">    314 : "emperor",</v>
      </c>
      <c r="F312">
        <f t="shared" si="24"/>
        <v>314</v>
      </c>
      <c r="G312">
        <f t="shared" si="27"/>
        <v>313</v>
      </c>
      <c r="H312" t="s">
        <v>1184</v>
      </c>
      <c r="I312" t="str">
        <f t="shared" si="25"/>
        <v xml:space="preserve">    313 : "ingus-p",</v>
      </c>
    </row>
    <row r="313" spans="3:9">
      <c r="C313">
        <f t="shared" si="26"/>
        <v>315</v>
      </c>
      <c r="D313" t="s">
        <v>555</v>
      </c>
      <c r="E313" t="str">
        <f t="shared" si="23"/>
        <v xml:space="preserve">    315 : "esperterra",</v>
      </c>
      <c r="F313">
        <f t="shared" si="24"/>
        <v>315</v>
      </c>
      <c r="G313">
        <f t="shared" si="27"/>
        <v>314</v>
      </c>
      <c r="H313" t="s">
        <v>1185</v>
      </c>
      <c r="I313" t="str">
        <f t="shared" si="25"/>
        <v xml:space="preserve">    314 : "interceptor-p",</v>
      </c>
    </row>
    <row r="314" spans="3:9">
      <c r="C314">
        <f t="shared" si="26"/>
        <v>316</v>
      </c>
      <c r="D314" t="s">
        <v>556</v>
      </c>
      <c r="E314" t="str">
        <f t="shared" si="23"/>
        <v xml:space="preserve">    316 : "esperterra_riding",</v>
      </c>
      <c r="F314">
        <f t="shared" si="24"/>
        <v>316</v>
      </c>
      <c r="G314">
        <f t="shared" si="27"/>
        <v>315</v>
      </c>
      <c r="H314" t="s">
        <v>1186</v>
      </c>
      <c r="I314" t="str">
        <f t="shared" si="25"/>
        <v xml:space="preserve">    315 : "invisible-p",</v>
      </c>
    </row>
    <row r="315" spans="3:9">
      <c r="C315">
        <f t="shared" si="26"/>
        <v>317</v>
      </c>
      <c r="D315" t="s">
        <v>557</v>
      </c>
      <c r="E315" t="str">
        <f t="shared" si="23"/>
        <v xml:space="preserve">    317 : "esperumaro",</v>
      </c>
      <c r="F315">
        <f t="shared" si="24"/>
        <v>317</v>
      </c>
      <c r="G315">
        <f t="shared" si="27"/>
        <v>316</v>
      </c>
      <c r="H315" t="s">
        <v>1187</v>
      </c>
      <c r="I315" t="str">
        <f t="shared" si="25"/>
        <v xml:space="preserve">    316 : "iris-p",</v>
      </c>
    </row>
    <row r="316" spans="3:9">
      <c r="C316">
        <f t="shared" si="26"/>
        <v>318</v>
      </c>
      <c r="D316" t="s">
        <v>558</v>
      </c>
      <c r="E316" t="str">
        <f t="shared" si="23"/>
        <v xml:space="preserve">    318 : "excitebiker",</v>
      </c>
      <c r="F316">
        <f t="shared" si="24"/>
        <v>318</v>
      </c>
      <c r="G316">
        <f t="shared" si="27"/>
        <v>317</v>
      </c>
      <c r="H316" t="s">
        <v>1188</v>
      </c>
      <c r="I316" t="str">
        <f t="shared" si="25"/>
        <v xml:space="preserve">    317 : "irvine-p",</v>
      </c>
    </row>
    <row r="317" spans="3:9">
      <c r="C317">
        <f t="shared" si="26"/>
        <v>319</v>
      </c>
      <c r="D317" t="s">
        <v>559</v>
      </c>
      <c r="E317" t="str">
        <f t="shared" si="23"/>
        <v xml:space="preserve">    319 : "exdeath",</v>
      </c>
      <c r="F317">
        <f t="shared" si="24"/>
        <v>319</v>
      </c>
      <c r="G317">
        <f t="shared" si="27"/>
        <v>318</v>
      </c>
      <c r="H317" t="s">
        <v>1189</v>
      </c>
      <c r="I317" t="str">
        <f t="shared" si="25"/>
        <v xml:space="preserve">    318 : "itachi-p",</v>
      </c>
    </row>
    <row r="318" spans="3:9">
      <c r="C318">
        <f t="shared" si="26"/>
        <v>320</v>
      </c>
      <c r="D318" t="s">
        <v>560</v>
      </c>
      <c r="E318" t="str">
        <f t="shared" si="23"/>
        <v xml:space="preserve">    320 : "fairy",</v>
      </c>
      <c r="F318">
        <f t="shared" si="24"/>
        <v>320</v>
      </c>
      <c r="G318">
        <f t="shared" si="27"/>
        <v>319</v>
      </c>
      <c r="H318" t="s">
        <v>1190</v>
      </c>
      <c r="I318" t="str">
        <f t="shared" si="25"/>
        <v xml:space="preserve">    319 : "jecht-p",</v>
      </c>
    </row>
    <row r="319" spans="3:9">
      <c r="C319">
        <f t="shared" si="26"/>
        <v>321</v>
      </c>
      <c r="D319" t="s">
        <v>561</v>
      </c>
      <c r="E319" t="str">
        <f t="shared" si="23"/>
        <v xml:space="preserve">    321 : "falco",</v>
      </c>
      <c r="F319">
        <f t="shared" si="24"/>
        <v>321</v>
      </c>
      <c r="G319">
        <f t="shared" si="27"/>
        <v>320</v>
      </c>
      <c r="H319" t="s">
        <v>1191</v>
      </c>
      <c r="I319" t="str">
        <f t="shared" si="25"/>
        <v xml:space="preserve">    320 : "jennybot-p",</v>
      </c>
    </row>
    <row r="320" spans="3:9">
      <c r="C320">
        <f t="shared" si="26"/>
        <v>322</v>
      </c>
      <c r="D320" t="s">
        <v>562</v>
      </c>
      <c r="E320" t="str">
        <f t="shared" si="23"/>
        <v xml:space="preserve">    322 : "fang",</v>
      </c>
      <c r="F320">
        <f t="shared" si="24"/>
        <v>322</v>
      </c>
      <c r="G320">
        <f t="shared" si="27"/>
        <v>321</v>
      </c>
      <c r="H320" t="s">
        <v>1192</v>
      </c>
      <c r="I320" t="str">
        <f t="shared" si="25"/>
        <v xml:space="preserve">    321 : "jessie7-p",</v>
      </c>
    </row>
    <row r="321" spans="3:9">
      <c r="C321">
        <f t="shared" si="26"/>
        <v>323</v>
      </c>
      <c r="D321" t="s">
        <v>563</v>
      </c>
      <c r="E321" t="str">
        <f t="shared" si="23"/>
        <v xml:space="preserve">    323 : "faris",</v>
      </c>
      <c r="F321">
        <f t="shared" si="24"/>
        <v>323</v>
      </c>
      <c r="G321">
        <f t="shared" si="27"/>
        <v>322</v>
      </c>
      <c r="H321" t="s">
        <v>1193</v>
      </c>
      <c r="I321" t="str">
        <f t="shared" si="25"/>
        <v xml:space="preserve">    322 : "jevil-p",</v>
      </c>
    </row>
    <row r="322" spans="3:9">
      <c r="C322">
        <f t="shared" si="26"/>
        <v>324</v>
      </c>
      <c r="D322" t="s">
        <v>564</v>
      </c>
      <c r="E322" t="str">
        <f t="shared" si="23"/>
        <v xml:space="preserve">    324 : "figaroguard",</v>
      </c>
      <c r="F322">
        <f t="shared" si="24"/>
        <v>324</v>
      </c>
      <c r="G322">
        <f t="shared" si="27"/>
        <v>323</v>
      </c>
      <c r="H322" t="s">
        <v>1194</v>
      </c>
      <c r="I322" t="str">
        <f t="shared" si="25"/>
        <v xml:space="preserve">    323 : "johnny-p",</v>
      </c>
    </row>
    <row r="323" spans="3:9">
      <c r="C323">
        <f t="shared" si="26"/>
        <v>325</v>
      </c>
      <c r="D323" t="s">
        <v>565</v>
      </c>
      <c r="E323" t="str">
        <f t="shared" si="23"/>
        <v xml:space="preserve">    325 : "fighter-ff1",</v>
      </c>
      <c r="F323">
        <f t="shared" si="24"/>
        <v>325</v>
      </c>
      <c r="G323">
        <f t="shared" si="27"/>
        <v>324</v>
      </c>
      <c r="H323" t="s">
        <v>1195</v>
      </c>
      <c r="I323" t="str">
        <f t="shared" si="25"/>
        <v xml:space="preserve">    324 : "josef-p",</v>
      </c>
    </row>
    <row r="324" spans="3:9">
      <c r="C324">
        <f t="shared" si="26"/>
        <v>326</v>
      </c>
      <c r="D324" t="s">
        <v>566</v>
      </c>
      <c r="E324" t="str">
        <f t="shared" si="23"/>
        <v xml:space="preserve">    326 : "fire",</v>
      </c>
      <c r="F324">
        <f t="shared" si="24"/>
        <v>326</v>
      </c>
      <c r="G324">
        <f t="shared" si="27"/>
        <v>325</v>
      </c>
      <c r="H324" t="s">
        <v>1196</v>
      </c>
      <c r="I324" t="str">
        <f t="shared" si="25"/>
        <v xml:space="preserve">    325 : "jripper-p",</v>
      </c>
    </row>
    <row r="325" spans="3:9">
      <c r="C325">
        <f t="shared" si="26"/>
        <v>327</v>
      </c>
      <c r="D325" t="s">
        <v>567</v>
      </c>
      <c r="E325" t="str">
        <f t="shared" si="23"/>
        <v xml:space="preserve">    327 : "firebrand",</v>
      </c>
      <c r="F325">
        <f t="shared" si="24"/>
        <v>327</v>
      </c>
      <c r="G325">
        <f t="shared" si="27"/>
        <v>326</v>
      </c>
      <c r="H325" t="s">
        <v>1197</v>
      </c>
      <c r="I325" t="str">
        <f t="shared" si="25"/>
        <v xml:space="preserve">    326 : "judge-p",</v>
      </c>
    </row>
    <row r="326" spans="3:9">
      <c r="C326">
        <f t="shared" si="26"/>
        <v>328</v>
      </c>
      <c r="D326" t="s">
        <v>568</v>
      </c>
      <c r="E326" t="str">
        <f t="shared" si="23"/>
        <v xml:space="preserve">    328 : "firion",</v>
      </c>
      <c r="F326">
        <f t="shared" si="24"/>
        <v>328</v>
      </c>
      <c r="G326">
        <f t="shared" si="27"/>
        <v>327</v>
      </c>
      <c r="H326" t="s">
        <v>1198</v>
      </c>
      <c r="I326" t="str">
        <f t="shared" si="25"/>
        <v xml:space="preserve">    327 : "kain-p",</v>
      </c>
    </row>
    <row r="327" spans="3:9">
      <c r="C327">
        <f t="shared" si="26"/>
        <v>329</v>
      </c>
      <c r="D327" t="s">
        <v>569</v>
      </c>
      <c r="E327" t="str">
        <f t="shared" si="23"/>
        <v xml:space="preserve">    329 : "fish",</v>
      </c>
      <c r="F327">
        <f t="shared" si="24"/>
        <v>329</v>
      </c>
      <c r="G327">
        <f t="shared" si="27"/>
        <v>328</v>
      </c>
      <c r="H327" t="s">
        <v>1199</v>
      </c>
      <c r="I327" t="str">
        <f t="shared" si="25"/>
        <v xml:space="preserve">    328 : "kakashi-p",</v>
      </c>
    </row>
    <row r="328" spans="3:9">
      <c r="C328">
        <f t="shared" si="26"/>
        <v>330</v>
      </c>
      <c r="D328" t="s">
        <v>570</v>
      </c>
      <c r="E328" t="str">
        <f t="shared" ref="E328:E391" si="28">"    "&amp;C328&amp;" : """&amp;D328&amp;""","</f>
        <v xml:space="preserve">    330 : "fluteboy",</v>
      </c>
      <c r="F328">
        <f t="shared" si="24"/>
        <v>330</v>
      </c>
      <c r="G328">
        <f t="shared" si="27"/>
        <v>329</v>
      </c>
      <c r="H328" t="s">
        <v>1200</v>
      </c>
      <c r="I328" t="str">
        <f t="shared" si="25"/>
        <v xml:space="preserve">    329 : "kakashi-slash-p",</v>
      </c>
    </row>
    <row r="329" spans="3:9">
      <c r="C329">
        <f t="shared" si="26"/>
        <v>331</v>
      </c>
      <c r="D329" t="s">
        <v>571</v>
      </c>
      <c r="E329" t="str">
        <f t="shared" si="28"/>
        <v xml:space="preserve">    331 : "fouroldmen",</v>
      </c>
      <c r="F329">
        <f t="shared" si="24"/>
        <v>331</v>
      </c>
      <c r="G329">
        <f t="shared" si="27"/>
        <v>330</v>
      </c>
      <c r="H329" t="s">
        <v>1201</v>
      </c>
      <c r="I329" t="str">
        <f t="shared" si="25"/>
        <v xml:space="preserve">    330 : "kakuzu-p",</v>
      </c>
    </row>
    <row r="330" spans="3:9">
      <c r="C330">
        <f t="shared" si="26"/>
        <v>332</v>
      </c>
      <c r="D330" t="s">
        <v>572</v>
      </c>
      <c r="E330" t="str">
        <f t="shared" si="28"/>
        <v xml:space="preserve">    332 : "fran",</v>
      </c>
      <c r="F330">
        <f t="shared" si="24"/>
        <v>332</v>
      </c>
      <c r="G330">
        <f t="shared" si="27"/>
        <v>331</v>
      </c>
      <c r="H330" t="s">
        <v>1202</v>
      </c>
      <c r="I330" t="str">
        <f t="shared" si="25"/>
        <v xml:space="preserve">    331 : "katarin-p",</v>
      </c>
    </row>
    <row r="331" spans="3:9">
      <c r="C331">
        <f t="shared" si="26"/>
        <v>333</v>
      </c>
      <c r="D331" t="s">
        <v>573</v>
      </c>
      <c r="E331" t="str">
        <f t="shared" si="28"/>
        <v xml:space="preserve">    333 : "freya",</v>
      </c>
      <c r="F331">
        <f t="shared" si="24"/>
        <v>333</v>
      </c>
      <c r="G331">
        <f t="shared" si="27"/>
        <v>332</v>
      </c>
      <c r="H331" t="s">
        <v>1203</v>
      </c>
      <c r="I331" t="str">
        <f t="shared" si="25"/>
        <v xml:space="preserve">    332 : "kefka-p",</v>
      </c>
    </row>
    <row r="332" spans="3:9">
      <c r="C332">
        <f t="shared" si="26"/>
        <v>334</v>
      </c>
      <c r="D332" t="s">
        <v>574</v>
      </c>
      <c r="E332" t="str">
        <f t="shared" si="28"/>
        <v xml:space="preserve">    334 : "frieza",</v>
      </c>
      <c r="F332">
        <f t="shared" si="24"/>
        <v>334</v>
      </c>
      <c r="G332">
        <f t="shared" si="27"/>
        <v>333</v>
      </c>
      <c r="H332" t="s">
        <v>1204</v>
      </c>
      <c r="I332" t="str">
        <f t="shared" si="25"/>
        <v xml:space="preserve">    333 : "kelgar-p",</v>
      </c>
    </row>
    <row r="333" spans="3:9">
      <c r="C333">
        <f t="shared" si="26"/>
        <v>335</v>
      </c>
      <c r="D333" t="s">
        <v>575</v>
      </c>
      <c r="E333" t="str">
        <f t="shared" si="28"/>
        <v xml:space="preserve">    335 : "frisk",</v>
      </c>
      <c r="F333">
        <f t="shared" si="24"/>
        <v>335</v>
      </c>
      <c r="G333">
        <f t="shared" si="27"/>
        <v>334</v>
      </c>
      <c r="H333" t="s">
        <v>1205</v>
      </c>
      <c r="I333" t="str">
        <f t="shared" si="25"/>
        <v xml:space="preserve">    334 : "kiki-p",</v>
      </c>
    </row>
    <row r="334" spans="3:9">
      <c r="C334">
        <f t="shared" si="26"/>
        <v>336</v>
      </c>
      <c r="D334" t="s">
        <v>576</v>
      </c>
      <c r="E334" t="str">
        <f t="shared" si="28"/>
        <v xml:space="preserve">    336 : "frog",</v>
      </c>
      <c r="F334">
        <f t="shared" si="24"/>
        <v>336</v>
      </c>
      <c r="G334">
        <f t="shared" si="27"/>
        <v>335</v>
      </c>
      <c r="H334" t="s">
        <v>1206</v>
      </c>
      <c r="I334" t="str">
        <f t="shared" si="25"/>
        <v xml:space="preserve">    335 : "kimahri-p",</v>
      </c>
    </row>
    <row r="335" spans="3:9">
      <c r="C335">
        <f t="shared" si="26"/>
        <v>337</v>
      </c>
      <c r="D335" t="s">
        <v>577</v>
      </c>
      <c r="E335" t="str">
        <f t="shared" si="28"/>
        <v xml:space="preserve">    337 : "froggy",</v>
      </c>
      <c r="F335">
        <f t="shared" si="24"/>
        <v>337</v>
      </c>
      <c r="G335">
        <f t="shared" si="27"/>
        <v>336</v>
      </c>
      <c r="H335" t="s">
        <v>1207</v>
      </c>
      <c r="I335" t="str">
        <f t="shared" si="25"/>
        <v xml:space="preserve">    336 : "kirby-p",</v>
      </c>
    </row>
    <row r="336" spans="3:9">
      <c r="C336">
        <f t="shared" si="26"/>
        <v>338</v>
      </c>
      <c r="D336" t="s">
        <v>578</v>
      </c>
      <c r="E336" t="str">
        <f t="shared" si="28"/>
        <v xml:space="preserve">    338 : "froggyfrog",</v>
      </c>
      <c r="F336">
        <f t="shared" si="24"/>
        <v>338</v>
      </c>
      <c r="G336">
        <f t="shared" si="27"/>
        <v>337</v>
      </c>
      <c r="H336" t="s">
        <v>1208</v>
      </c>
      <c r="I336" t="str">
        <f t="shared" si="25"/>
        <v xml:space="preserve">    337 : "kiros-p",</v>
      </c>
    </row>
    <row r="337" spans="3:9">
      <c r="C337">
        <f t="shared" si="26"/>
        <v>339</v>
      </c>
      <c r="D337" t="s">
        <v>579</v>
      </c>
      <c r="E337" t="str">
        <f t="shared" si="28"/>
        <v xml:space="preserve">    339 : "frogster",</v>
      </c>
      <c r="F337">
        <f t="shared" si="24"/>
        <v>339</v>
      </c>
      <c r="G337">
        <f t="shared" si="27"/>
        <v>338</v>
      </c>
      <c r="H337" t="s">
        <v>1209</v>
      </c>
      <c r="I337" t="str">
        <f t="shared" si="25"/>
        <v xml:space="preserve">    338 : "kisame-p",</v>
      </c>
    </row>
    <row r="338" spans="3:9">
      <c r="C338">
        <f t="shared" si="26"/>
        <v>340</v>
      </c>
      <c r="D338" t="s">
        <v>580</v>
      </c>
      <c r="E338" t="str">
        <f t="shared" si="28"/>
        <v xml:space="preserve">    340 : "fusoya",</v>
      </c>
      <c r="F338">
        <f t="shared" si="24"/>
        <v>340</v>
      </c>
      <c r="G338">
        <f t="shared" si="27"/>
        <v>339</v>
      </c>
      <c r="H338" t="s">
        <v>1210</v>
      </c>
      <c r="I338" t="str">
        <f t="shared" si="25"/>
        <v xml:space="preserve">    339 : "knight-p",</v>
      </c>
    </row>
    <row r="339" spans="3:9">
      <c r="C339">
        <f t="shared" si="26"/>
        <v>341</v>
      </c>
      <c r="D339" t="s">
        <v>581</v>
      </c>
      <c r="E339" t="str">
        <f t="shared" si="28"/>
        <v xml:space="preserve">    341 : "gabranth",</v>
      </c>
      <c r="F339">
        <f t="shared" si="24"/>
        <v>341</v>
      </c>
      <c r="G339">
        <f t="shared" si="27"/>
        <v>340</v>
      </c>
      <c r="H339" t="s">
        <v>1211</v>
      </c>
      <c r="I339" t="str">
        <f t="shared" si="25"/>
        <v xml:space="preserve">    340 : "knuckles-p",</v>
      </c>
    </row>
    <row r="340" spans="3:9">
      <c r="C340">
        <f t="shared" si="26"/>
        <v>342</v>
      </c>
      <c r="D340" t="s">
        <v>582</v>
      </c>
      <c r="E340" t="str">
        <f t="shared" si="28"/>
        <v xml:space="preserve">    342 : "gaffgarion",</v>
      </c>
      <c r="F340">
        <f t="shared" si="24"/>
        <v>342</v>
      </c>
      <c r="G340">
        <f t="shared" si="27"/>
        <v>341</v>
      </c>
      <c r="H340" t="s">
        <v>1212</v>
      </c>
      <c r="I340" t="str">
        <f t="shared" si="25"/>
        <v xml:space="preserve">    341 : "konan-p",</v>
      </c>
    </row>
    <row r="341" spans="3:9">
      <c r="C341">
        <f t="shared" si="26"/>
        <v>343</v>
      </c>
      <c r="D341" t="s">
        <v>583</v>
      </c>
      <c r="E341" t="str">
        <f t="shared" si="28"/>
        <v xml:space="preserve">    343 : "gaia-evo",</v>
      </c>
      <c r="F341">
        <f t="shared" si="24"/>
        <v>343</v>
      </c>
      <c r="G341">
        <f t="shared" si="27"/>
        <v>342</v>
      </c>
      <c r="H341" t="s">
        <v>1213</v>
      </c>
      <c r="I341" t="str">
        <f t="shared" si="25"/>
        <v xml:space="preserve">    342 : "krile-p",</v>
      </c>
    </row>
    <row r="342" spans="3:9">
      <c r="C342">
        <f t="shared" si="26"/>
        <v>344</v>
      </c>
      <c r="D342" t="s">
        <v>584</v>
      </c>
      <c r="E342" t="str">
        <f t="shared" si="28"/>
        <v xml:space="preserve">    344 : "galbadiansoldier",</v>
      </c>
      <c r="F342">
        <f t="shared" si="24"/>
        <v>344</v>
      </c>
      <c r="G342">
        <f t="shared" si="27"/>
        <v>343</v>
      </c>
      <c r="H342" t="s">
        <v>1214</v>
      </c>
      <c r="I342" t="str">
        <f t="shared" si="25"/>
        <v xml:space="preserve">    343 : "kuja-p",</v>
      </c>
    </row>
    <row r="343" spans="3:9">
      <c r="C343">
        <f t="shared" si="26"/>
        <v>345</v>
      </c>
      <c r="D343" t="s">
        <v>585</v>
      </c>
      <c r="E343" t="str">
        <f t="shared" si="28"/>
        <v xml:space="preserve">    345 : "galuf",</v>
      </c>
      <c r="F343">
        <f t="shared" si="24"/>
        <v>345</v>
      </c>
      <c r="G343">
        <f t="shared" si="27"/>
        <v>344</v>
      </c>
      <c r="H343" t="s">
        <v>1215</v>
      </c>
      <c r="I343" t="str">
        <f t="shared" si="25"/>
        <v xml:space="preserve">    344 : "kula-p",</v>
      </c>
    </row>
    <row r="344" spans="3:9">
      <c r="C344">
        <f t="shared" si="26"/>
        <v>346</v>
      </c>
      <c r="D344" t="s">
        <v>586</v>
      </c>
      <c r="E344" t="str">
        <f t="shared" si="28"/>
        <v xml:space="preserve">    346 : "garland",</v>
      </c>
      <c r="F344">
        <f t="shared" si="24"/>
        <v>346</v>
      </c>
      <c r="G344">
        <f t="shared" si="27"/>
        <v>345</v>
      </c>
      <c r="H344" t="s">
        <v>1216</v>
      </c>
      <c r="I344" t="str">
        <f t="shared" si="25"/>
        <v xml:space="preserve">    345 : "lady-p",</v>
      </c>
    </row>
    <row r="345" spans="3:9">
      <c r="C345">
        <f t="shared" si="26"/>
        <v>347</v>
      </c>
      <c r="D345" t="s">
        <v>587</v>
      </c>
      <c r="E345" t="str">
        <f t="shared" si="28"/>
        <v xml:space="preserve">    347 : "garnet-gown",</v>
      </c>
      <c r="F345">
        <f t="shared" si="24"/>
        <v>347</v>
      </c>
      <c r="G345">
        <f t="shared" si="27"/>
        <v>346</v>
      </c>
      <c r="H345" t="s">
        <v>1217</v>
      </c>
      <c r="I345" t="str">
        <f t="shared" si="25"/>
        <v xml:space="preserve">    346 : "laguna-p",</v>
      </c>
    </row>
    <row r="346" spans="3:9">
      <c r="C346">
        <f t="shared" si="26"/>
        <v>348</v>
      </c>
      <c r="D346" t="s">
        <v>588</v>
      </c>
      <c r="E346" t="str">
        <f t="shared" si="28"/>
        <v xml:space="preserve">    348 : "garnet-whitemage",</v>
      </c>
      <c r="F346">
        <f t="shared" si="24"/>
        <v>348</v>
      </c>
      <c r="G346">
        <f t="shared" si="27"/>
        <v>347</v>
      </c>
      <c r="H346" t="s">
        <v>1218</v>
      </c>
      <c r="I346" t="str">
        <f t="shared" si="25"/>
        <v xml:space="preserve">    347 : "lamp-p",</v>
      </c>
    </row>
    <row r="347" spans="3:9">
      <c r="C347">
        <f t="shared" si="26"/>
        <v>349</v>
      </c>
      <c r="D347" t="s">
        <v>589</v>
      </c>
      <c r="E347" t="str">
        <f t="shared" si="28"/>
        <v xml:space="preserve">    349 : "garnet",</v>
      </c>
      <c r="F347">
        <f t="shared" si="24"/>
        <v>349</v>
      </c>
      <c r="G347">
        <f t="shared" si="27"/>
        <v>348</v>
      </c>
      <c r="H347" t="s">
        <v>1219</v>
      </c>
      <c r="I347" t="str">
        <f t="shared" si="25"/>
        <v xml:space="preserve">    348 : "larsa-p",</v>
      </c>
    </row>
    <row r="348" spans="3:9">
      <c r="C348">
        <f t="shared" si="26"/>
        <v>350</v>
      </c>
      <c r="D348" t="s">
        <v>590</v>
      </c>
      <c r="E348" t="str">
        <f t="shared" si="28"/>
        <v xml:space="preserve">    350 : "gau-fancy",</v>
      </c>
      <c r="F348">
        <f t="shared" si="24"/>
        <v>350</v>
      </c>
      <c r="G348">
        <f t="shared" si="27"/>
        <v>349</v>
      </c>
      <c r="H348" t="s">
        <v>1220</v>
      </c>
      <c r="I348" t="str">
        <f t="shared" si="25"/>
        <v xml:space="preserve">    349 : "leila-p",</v>
      </c>
    </row>
    <row r="349" spans="3:9">
      <c r="C349">
        <f t="shared" si="26"/>
        <v>351</v>
      </c>
      <c r="D349" t="s">
        <v>591</v>
      </c>
      <c r="E349" t="str">
        <f t="shared" si="28"/>
        <v xml:space="preserve">    351 : "gau-shinything",</v>
      </c>
      <c r="F349">
        <f t="shared" si="24"/>
        <v>351</v>
      </c>
      <c r="G349">
        <f t="shared" si="27"/>
        <v>350</v>
      </c>
      <c r="H349" t="s">
        <v>1221</v>
      </c>
      <c r="I349" t="str">
        <f t="shared" si="25"/>
        <v xml:space="preserve">    350 : "lemming-p",</v>
      </c>
    </row>
    <row r="350" spans="3:9">
      <c r="C350">
        <f t="shared" si="26"/>
        <v>352</v>
      </c>
      <c r="D350" t="s">
        <v>592</v>
      </c>
      <c r="E350" t="str">
        <f t="shared" si="28"/>
        <v xml:space="preserve">    352 : "gau-zidane",</v>
      </c>
      <c r="F350">
        <f t="shared" si="24"/>
        <v>352</v>
      </c>
      <c r="G350">
        <f t="shared" si="27"/>
        <v>351</v>
      </c>
      <c r="H350" t="s">
        <v>1222</v>
      </c>
      <c r="I350" t="str">
        <f t="shared" si="25"/>
        <v xml:space="preserve">    351 : "lenna-dancer-p",</v>
      </c>
    </row>
    <row r="351" spans="3:9">
      <c r="C351">
        <f t="shared" si="26"/>
        <v>353</v>
      </c>
      <c r="D351" t="s">
        <v>593</v>
      </c>
      <c r="E351" t="str">
        <f t="shared" si="28"/>
        <v xml:space="preserve">    353 : "genesis",</v>
      </c>
      <c r="F351">
        <f t="shared" si="24"/>
        <v>353</v>
      </c>
      <c r="G351">
        <f t="shared" si="27"/>
        <v>352</v>
      </c>
      <c r="H351" t="s">
        <v>1223</v>
      </c>
      <c r="I351" t="str">
        <f t="shared" si="25"/>
        <v xml:space="preserve">    352 : "lenna-p",</v>
      </c>
    </row>
    <row r="352" spans="3:9">
      <c r="C352">
        <f t="shared" si="26"/>
        <v>354</v>
      </c>
      <c r="D352" t="s">
        <v>594</v>
      </c>
      <c r="E352" t="str">
        <f t="shared" si="28"/>
        <v xml:space="preserve">    354 : "geno",</v>
      </c>
      <c r="F352">
        <f t="shared" ref="F352:F415" si="29">C352</f>
        <v>354</v>
      </c>
      <c r="G352">
        <f t="shared" si="27"/>
        <v>353</v>
      </c>
      <c r="H352" t="s">
        <v>1224</v>
      </c>
      <c r="I352" t="str">
        <f t="shared" ref="I352:I415" si="30">"    "&amp;G352&amp;" : """&amp;H352&amp;""","</f>
        <v xml:space="preserve">    353 : "lenna-ranger-p",</v>
      </c>
    </row>
    <row r="353" spans="3:9">
      <c r="C353">
        <f t="shared" ref="C353:C416" si="31">C352+1</f>
        <v>355</v>
      </c>
      <c r="D353" t="s">
        <v>595</v>
      </c>
      <c r="E353" t="str">
        <f t="shared" si="28"/>
        <v xml:space="preserve">    355 : "gestahl",</v>
      </c>
      <c r="F353">
        <f t="shared" si="29"/>
        <v>355</v>
      </c>
      <c r="G353">
        <f t="shared" si="27"/>
        <v>354</v>
      </c>
      <c r="H353" t="s">
        <v>1225</v>
      </c>
      <c r="I353" t="str">
        <f t="shared" si="30"/>
        <v xml:space="preserve">    354 : "lenna-time-mage-p",</v>
      </c>
    </row>
    <row r="354" spans="3:9">
      <c r="C354">
        <f t="shared" si="31"/>
        <v>356</v>
      </c>
      <c r="D354" t="s">
        <v>596</v>
      </c>
      <c r="E354" t="str">
        <f t="shared" si="28"/>
        <v xml:space="preserve">    356 : "ghost",</v>
      </c>
      <c r="F354">
        <f t="shared" si="29"/>
        <v>356</v>
      </c>
      <c r="G354">
        <f t="shared" si="27"/>
        <v>355</v>
      </c>
      <c r="H354" t="s">
        <v>1226</v>
      </c>
      <c r="I354" t="str">
        <f t="shared" si="30"/>
        <v xml:space="preserve">    355 : "lenna-white-mage-p",</v>
      </c>
    </row>
    <row r="355" spans="3:9">
      <c r="C355">
        <f t="shared" si="31"/>
        <v>357</v>
      </c>
      <c r="D355" t="s">
        <v>597</v>
      </c>
      <c r="E355" t="str">
        <f t="shared" si="28"/>
        <v xml:space="preserve">    357 : "ghost_riding",</v>
      </c>
      <c r="F355">
        <f t="shared" si="29"/>
        <v>357</v>
      </c>
      <c r="G355">
        <f t="shared" si="27"/>
        <v>356</v>
      </c>
      <c r="H355" t="s">
        <v>1227</v>
      </c>
      <c r="I355" t="str">
        <f t="shared" si="30"/>
        <v xml:space="preserve">    356 : "leon-p",</v>
      </c>
    </row>
    <row r="356" spans="3:9">
      <c r="C356">
        <f t="shared" si="31"/>
        <v>358</v>
      </c>
      <c r="D356" t="s">
        <v>598</v>
      </c>
      <c r="E356" t="str">
        <f t="shared" si="28"/>
        <v xml:space="preserve">    358 : "gilgamesh",</v>
      </c>
      <c r="F356">
        <f t="shared" si="29"/>
        <v>358</v>
      </c>
      <c r="G356">
        <f t="shared" si="27"/>
        <v>357</v>
      </c>
      <c r="H356" t="s">
        <v>1228</v>
      </c>
      <c r="I356" t="str">
        <f t="shared" si="30"/>
        <v xml:space="preserve">    357 : "letty-p",</v>
      </c>
    </row>
    <row r="357" spans="3:9">
      <c r="C357">
        <f t="shared" si="31"/>
        <v>359</v>
      </c>
      <c r="D357" t="s">
        <v>599</v>
      </c>
      <c r="E357" t="str">
        <f t="shared" si="28"/>
        <v xml:space="preserve">    359 : "gilius",</v>
      </c>
      <c r="F357">
        <f t="shared" si="29"/>
        <v>359</v>
      </c>
      <c r="G357">
        <f t="shared" si="27"/>
        <v>358</v>
      </c>
      <c r="H357" t="s">
        <v>1229</v>
      </c>
      <c r="I357" t="str">
        <f t="shared" si="30"/>
        <v xml:space="preserve">    358 : "lightning-p",</v>
      </c>
    </row>
    <row r="358" spans="3:9">
      <c r="C358">
        <f t="shared" si="31"/>
        <v>360</v>
      </c>
      <c r="D358" t="s">
        <v>600</v>
      </c>
      <c r="E358" t="str">
        <f t="shared" si="28"/>
        <v xml:space="preserve">    360 : "girl",</v>
      </c>
      <c r="F358">
        <f t="shared" si="29"/>
        <v>360</v>
      </c>
      <c r="G358">
        <f t="shared" si="27"/>
        <v>359</v>
      </c>
      <c r="H358" t="s">
        <v>1230</v>
      </c>
      <c r="I358" t="str">
        <f t="shared" si="30"/>
        <v xml:space="preserve">    359 : "lilith-p",</v>
      </c>
    </row>
    <row r="359" spans="3:9">
      <c r="C359">
        <f t="shared" si="31"/>
        <v>361</v>
      </c>
      <c r="D359" t="s">
        <v>601</v>
      </c>
      <c r="E359" t="str">
        <f t="shared" si="28"/>
        <v xml:space="preserve">    361 : "gogo-exdeath",</v>
      </c>
      <c r="F359">
        <f t="shared" si="29"/>
        <v>361</v>
      </c>
      <c r="G359">
        <f t="shared" si="27"/>
        <v>360</v>
      </c>
      <c r="H359" t="s">
        <v>1231</v>
      </c>
      <c r="I359" t="str">
        <f t="shared" si="30"/>
        <v xml:space="preserve">    360 : "link-p",</v>
      </c>
    </row>
    <row r="360" spans="3:9">
      <c r="C360">
        <f t="shared" si="31"/>
        <v>362</v>
      </c>
      <c r="D360" t="s">
        <v>602</v>
      </c>
      <c r="E360" t="str">
        <f t="shared" si="28"/>
        <v xml:space="preserve">    362 : "gogo-t",</v>
      </c>
      <c r="F360">
        <f t="shared" si="29"/>
        <v>362</v>
      </c>
      <c r="G360">
        <f t="shared" si="27"/>
        <v>361</v>
      </c>
      <c r="H360" t="s">
        <v>1232</v>
      </c>
      <c r="I360" t="str">
        <f t="shared" si="30"/>
        <v xml:space="preserve">    361 : "locke-amano-p",</v>
      </c>
    </row>
    <row r="361" spans="3:9">
      <c r="C361">
        <f t="shared" si="31"/>
        <v>363</v>
      </c>
      <c r="D361" t="s">
        <v>603</v>
      </c>
      <c r="E361" t="str">
        <f t="shared" si="28"/>
        <v xml:space="preserve">    363 : "goku",</v>
      </c>
      <c r="F361">
        <f t="shared" si="29"/>
        <v>363</v>
      </c>
      <c r="G361">
        <f t="shared" si="27"/>
        <v>362</v>
      </c>
      <c r="H361" t="s">
        <v>1233</v>
      </c>
      <c r="I361" t="str">
        <f t="shared" si="30"/>
        <v xml:space="preserve">    362 : "locke-draco-p",</v>
      </c>
    </row>
    <row r="362" spans="3:9">
      <c r="C362">
        <f t="shared" si="31"/>
        <v>364</v>
      </c>
      <c r="D362" t="s">
        <v>604</v>
      </c>
      <c r="E362" t="str">
        <f t="shared" si="28"/>
        <v xml:space="preserve">    364 : "golbez",</v>
      </c>
      <c r="F362">
        <f t="shared" si="29"/>
        <v>364</v>
      </c>
      <c r="G362">
        <f t="shared" si="27"/>
        <v>363</v>
      </c>
      <c r="H362" t="s">
        <v>1234</v>
      </c>
      <c r="I362" t="str">
        <f t="shared" si="30"/>
        <v xml:space="preserve">    363 : "locke-firion-p",</v>
      </c>
    </row>
    <row r="363" spans="3:9">
      <c r="C363">
        <f t="shared" si="31"/>
        <v>365</v>
      </c>
      <c r="D363" t="s">
        <v>605</v>
      </c>
      <c r="E363" t="str">
        <f t="shared" si="28"/>
        <v xml:space="preserve">    365 : "gomezaddams",</v>
      </c>
      <c r="F363">
        <f t="shared" si="29"/>
        <v>365</v>
      </c>
      <c r="G363">
        <f t="shared" si="27"/>
        <v>364</v>
      </c>
      <c r="H363" t="s">
        <v>1235</v>
      </c>
      <c r="I363" t="str">
        <f t="shared" si="30"/>
        <v xml:space="preserve">    364 : "locke-squall-p",</v>
      </c>
    </row>
    <row r="364" spans="3:9">
      <c r="C364">
        <f t="shared" si="31"/>
        <v>366</v>
      </c>
      <c r="D364" t="s">
        <v>606</v>
      </c>
      <c r="E364" t="str">
        <f t="shared" si="28"/>
        <v xml:space="preserve">    366 : "gordon",</v>
      </c>
      <c r="F364">
        <f t="shared" si="29"/>
        <v>366</v>
      </c>
      <c r="G364">
        <f t="shared" si="27"/>
        <v>365</v>
      </c>
      <c r="H364" t="s">
        <v>1236</v>
      </c>
      <c r="I364" t="str">
        <f t="shared" si="30"/>
        <v xml:space="preserve">    365 : "lonewolf-p",</v>
      </c>
    </row>
    <row r="365" spans="3:9">
      <c r="C365">
        <f t="shared" si="31"/>
        <v>367</v>
      </c>
      <c r="D365" t="s">
        <v>607</v>
      </c>
      <c r="E365" t="str">
        <f t="shared" si="28"/>
        <v xml:space="preserve">    367 : "grandma",</v>
      </c>
      <c r="F365">
        <f t="shared" si="29"/>
        <v>367</v>
      </c>
      <c r="G365">
        <f t="shared" si="27"/>
        <v>366</v>
      </c>
      <c r="H365" t="s">
        <v>1237</v>
      </c>
      <c r="I365" t="str">
        <f t="shared" si="30"/>
        <v xml:space="preserve">    366 : "lovers-p",</v>
      </c>
    </row>
    <row r="366" spans="3:9">
      <c r="C366">
        <f t="shared" si="31"/>
        <v>368</v>
      </c>
      <c r="D366" t="s">
        <v>608</v>
      </c>
      <c r="E366" t="str">
        <f t="shared" si="28"/>
        <v xml:space="preserve">    368 : "guts",</v>
      </c>
      <c r="F366">
        <f t="shared" si="29"/>
        <v>368</v>
      </c>
      <c r="G366">
        <f t="shared" si="27"/>
        <v>367</v>
      </c>
      <c r="H366" t="s">
        <v>1238</v>
      </c>
      <c r="I366" t="str">
        <f t="shared" si="30"/>
        <v xml:space="preserve">    367 : "lttp-p",</v>
      </c>
    </row>
    <row r="367" spans="3:9">
      <c r="C367">
        <f t="shared" si="31"/>
        <v>369</v>
      </c>
      <c r="D367" t="s">
        <v>609</v>
      </c>
      <c r="E367" t="str">
        <f t="shared" si="28"/>
        <v xml:space="preserve">    369 : "guy",</v>
      </c>
      <c r="F367">
        <f t="shared" si="29"/>
        <v>369</v>
      </c>
      <c r="G367">
        <f t="shared" si="27"/>
        <v>368</v>
      </c>
      <c r="H367" t="s">
        <v>1239</v>
      </c>
      <c r="I367" t="str">
        <f t="shared" si="30"/>
        <v xml:space="preserve">    368 : "lucca-p",</v>
      </c>
    </row>
    <row r="368" spans="3:9">
      <c r="C368">
        <f t="shared" si="31"/>
        <v>370</v>
      </c>
      <c r="D368" t="s">
        <v>610</v>
      </c>
      <c r="E368" t="str">
        <f t="shared" si="28"/>
        <v xml:space="preserve">    370 : "hamlet",</v>
      </c>
      <c r="F368">
        <f t="shared" si="29"/>
        <v>370</v>
      </c>
      <c r="G368">
        <f t="shared" si="27"/>
        <v>369</v>
      </c>
      <c r="H368" t="s">
        <v>1240</v>
      </c>
      <c r="I368" t="str">
        <f t="shared" si="30"/>
        <v xml:space="preserve">    369 : "lufia-p",</v>
      </c>
    </row>
    <row r="369" spans="3:9">
      <c r="C369">
        <f t="shared" si="31"/>
        <v>371</v>
      </c>
      <c r="D369" t="s">
        <v>611</v>
      </c>
      <c r="E369" t="str">
        <f t="shared" si="28"/>
        <v xml:space="preserve">    371 : "hashirama",</v>
      </c>
      <c r="F369">
        <f t="shared" si="29"/>
        <v>371</v>
      </c>
      <c r="G369">
        <f t="shared" si="27"/>
        <v>370</v>
      </c>
      <c r="H369" t="s">
        <v>1241</v>
      </c>
      <c r="I369" t="str">
        <f t="shared" si="30"/>
        <v xml:space="preserve">    370 : "luigi-p",</v>
      </c>
    </row>
    <row r="370" spans="3:9">
      <c r="C370">
        <f t="shared" si="31"/>
        <v>372</v>
      </c>
      <c r="D370" t="s">
        <v>612</v>
      </c>
      <c r="E370" t="str">
        <f t="shared" si="28"/>
        <v xml:space="preserve">    372 : "headdy",</v>
      </c>
      <c r="F370">
        <f t="shared" si="29"/>
        <v>372</v>
      </c>
      <c r="G370">
        <f t="shared" ref="G370:G433" si="32">G369+1</f>
        <v>371</v>
      </c>
      <c r="H370" t="s">
        <v>1242</v>
      </c>
      <c r="I370" t="str">
        <f t="shared" si="30"/>
        <v xml:space="preserve">    371 : "lulu-p",</v>
      </c>
    </row>
    <row r="371" spans="3:9">
      <c r="C371">
        <f t="shared" si="31"/>
        <v>373</v>
      </c>
      <c r="D371" t="s">
        <v>613</v>
      </c>
      <c r="E371" t="str">
        <f t="shared" si="28"/>
        <v xml:space="preserve">    373 : "hidan",</v>
      </c>
      <c r="F371">
        <f t="shared" si="29"/>
        <v>373</v>
      </c>
      <c r="G371">
        <f t="shared" si="32"/>
        <v>372</v>
      </c>
      <c r="H371" t="s">
        <v>1243</v>
      </c>
      <c r="I371" t="str">
        <f t="shared" si="30"/>
        <v xml:space="preserve">    372 : "luneth-p",</v>
      </c>
    </row>
    <row r="372" spans="3:9">
      <c r="C372">
        <f t="shared" si="31"/>
        <v>374</v>
      </c>
      <c r="D372" t="s">
        <v>614</v>
      </c>
      <c r="E372" t="str">
        <f t="shared" si="28"/>
        <v xml:space="preserve">    374 : "hilda",</v>
      </c>
      <c r="F372">
        <f t="shared" si="29"/>
        <v>374</v>
      </c>
      <c r="G372">
        <f t="shared" si="32"/>
        <v>373</v>
      </c>
      <c r="H372" t="s">
        <v>1244</v>
      </c>
      <c r="I372" t="str">
        <f t="shared" si="30"/>
        <v xml:space="preserve">    373 : "madara-p",</v>
      </c>
    </row>
    <row r="373" spans="3:9">
      <c r="C373">
        <f t="shared" si="31"/>
        <v>375</v>
      </c>
      <c r="D373" t="s">
        <v>615</v>
      </c>
      <c r="E373" t="str">
        <f t="shared" si="28"/>
        <v xml:space="preserve">    375 : "hojo",</v>
      </c>
      <c r="F373">
        <f t="shared" si="29"/>
        <v>375</v>
      </c>
      <c r="G373">
        <f t="shared" si="32"/>
        <v>374</v>
      </c>
      <c r="H373" t="s">
        <v>1245</v>
      </c>
      <c r="I373" t="str">
        <f t="shared" si="30"/>
        <v xml:space="preserve">    374 : "maduin-p",</v>
      </c>
    </row>
    <row r="374" spans="3:9">
      <c r="C374">
        <f t="shared" si="31"/>
        <v>376</v>
      </c>
      <c r="D374" t="s">
        <v>616</v>
      </c>
      <c r="E374" t="str">
        <f t="shared" si="28"/>
        <v xml:space="preserve">    376 : "holydragoon",</v>
      </c>
      <c r="F374">
        <f t="shared" si="29"/>
        <v>376</v>
      </c>
      <c r="G374">
        <f t="shared" si="32"/>
        <v>375</v>
      </c>
      <c r="H374" t="s">
        <v>1246</v>
      </c>
      <c r="I374" t="str">
        <f t="shared" si="30"/>
        <v xml:space="preserve">    375 : "magicite-p",</v>
      </c>
    </row>
    <row r="375" spans="3:9">
      <c r="C375">
        <f t="shared" si="31"/>
        <v>377</v>
      </c>
      <c r="D375" t="s">
        <v>617</v>
      </c>
      <c r="E375" t="str">
        <f t="shared" si="28"/>
        <v xml:space="preserve">    377 : "hoodedman",</v>
      </c>
      <c r="F375">
        <f t="shared" si="29"/>
        <v>377</v>
      </c>
      <c r="G375">
        <f t="shared" si="32"/>
        <v>376</v>
      </c>
      <c r="H375" t="s">
        <v>1247</v>
      </c>
      <c r="I375" t="str">
        <f t="shared" si="30"/>
        <v xml:space="preserve">    376 : "magissa-p",</v>
      </c>
    </row>
    <row r="376" spans="3:9">
      <c r="C376">
        <f t="shared" si="31"/>
        <v>378</v>
      </c>
      <c r="D376" t="s">
        <v>618</v>
      </c>
      <c r="E376" t="str">
        <f t="shared" si="28"/>
        <v xml:space="preserve">    378 : "hope",</v>
      </c>
      <c r="F376">
        <f t="shared" si="29"/>
        <v>378</v>
      </c>
      <c r="G376">
        <f t="shared" si="32"/>
        <v>377</v>
      </c>
      <c r="H376" t="s">
        <v>1248</v>
      </c>
      <c r="I376" t="str">
        <f t="shared" si="30"/>
        <v xml:space="preserve">    377 : "magneto-p",</v>
      </c>
    </row>
    <row r="377" spans="3:9">
      <c r="C377">
        <f t="shared" si="31"/>
        <v>379</v>
      </c>
      <c r="D377" t="s">
        <v>619</v>
      </c>
      <c r="E377" t="str">
        <f t="shared" si="28"/>
        <v xml:space="preserve">    379 : "hornytoad",</v>
      </c>
      <c r="F377">
        <f t="shared" si="29"/>
        <v>379</v>
      </c>
      <c r="G377">
        <f t="shared" si="32"/>
        <v>378</v>
      </c>
      <c r="H377" t="s">
        <v>1249</v>
      </c>
      <c r="I377" t="str">
        <f t="shared" si="30"/>
        <v xml:space="preserve">    378 : "magus-p",</v>
      </c>
    </row>
    <row r="378" spans="3:9">
      <c r="C378">
        <f t="shared" si="31"/>
        <v>380</v>
      </c>
      <c r="D378" t="s">
        <v>620</v>
      </c>
      <c r="E378" t="str">
        <f t="shared" si="28"/>
        <v xml:space="preserve">    380 : "hotaru",</v>
      </c>
      <c r="F378">
        <f t="shared" si="29"/>
        <v>380</v>
      </c>
      <c r="G378">
        <f t="shared" si="32"/>
        <v>379</v>
      </c>
      <c r="H378" t="s">
        <v>1250</v>
      </c>
      <c r="I378" t="str">
        <f t="shared" si="30"/>
        <v xml:space="preserve">    379 : "maid-p",</v>
      </c>
    </row>
    <row r="379" spans="3:9">
      <c r="C379">
        <f t="shared" si="31"/>
        <v>381</v>
      </c>
      <c r="D379" t="s">
        <v>621</v>
      </c>
      <c r="E379" t="str">
        <f t="shared" si="28"/>
        <v xml:space="preserve">    381 : "iffy",</v>
      </c>
      <c r="F379">
        <f t="shared" si="29"/>
        <v>381</v>
      </c>
      <c r="G379">
        <f t="shared" si="32"/>
        <v>380</v>
      </c>
      <c r="H379" t="s">
        <v>1251</v>
      </c>
      <c r="I379" t="str">
        <f t="shared" si="30"/>
        <v xml:space="preserve">    380 : "malboro-p",</v>
      </c>
    </row>
    <row r="380" spans="3:9">
      <c r="C380">
        <f t="shared" si="31"/>
        <v>382</v>
      </c>
      <c r="D380" t="s">
        <v>622</v>
      </c>
      <c r="E380" t="str">
        <f t="shared" si="28"/>
        <v xml:space="preserve">    382 : "illya-prisma",</v>
      </c>
      <c r="F380">
        <f t="shared" si="29"/>
        <v>382</v>
      </c>
      <c r="G380">
        <f t="shared" si="32"/>
        <v>381</v>
      </c>
      <c r="H380" t="s">
        <v>1252</v>
      </c>
      <c r="I380" t="str">
        <f t="shared" si="30"/>
        <v xml:space="preserve">    381 : "malin-p",</v>
      </c>
    </row>
    <row r="381" spans="3:9">
      <c r="C381">
        <f t="shared" si="31"/>
        <v>383</v>
      </c>
      <c r="D381" t="s">
        <v>623</v>
      </c>
      <c r="E381" t="str">
        <f t="shared" si="28"/>
        <v xml:space="preserve">    383 : "imperialsoldier-amano",</v>
      </c>
      <c r="F381">
        <f t="shared" si="29"/>
        <v>383</v>
      </c>
      <c r="G381">
        <f t="shared" si="32"/>
        <v>382</v>
      </c>
      <c r="H381" t="s">
        <v>1253</v>
      </c>
      <c r="I381" t="str">
        <f t="shared" si="30"/>
        <v xml:space="preserve">    382 : "mallow-p",</v>
      </c>
    </row>
    <row r="382" spans="3:9">
      <c r="C382">
        <f t="shared" si="31"/>
        <v>384</v>
      </c>
      <c r="D382" t="s">
        <v>624</v>
      </c>
      <c r="E382" t="str">
        <f t="shared" si="28"/>
        <v xml:space="preserve">    384 : "imperialsoldier-cape",</v>
      </c>
      <c r="F382">
        <f t="shared" si="29"/>
        <v>384</v>
      </c>
      <c r="G382">
        <f t="shared" si="32"/>
        <v>383</v>
      </c>
      <c r="H382" t="s">
        <v>1254</v>
      </c>
      <c r="I382" t="str">
        <f t="shared" si="30"/>
        <v xml:space="preserve">    383 : "man-p",</v>
      </c>
    </row>
    <row r="383" spans="3:9">
      <c r="C383">
        <f t="shared" si="31"/>
        <v>385</v>
      </c>
      <c r="D383" t="s">
        <v>625</v>
      </c>
      <c r="E383" t="str">
        <f t="shared" si="28"/>
        <v xml:space="preserve">    385 : "imperialsoldier-female-face",</v>
      </c>
      <c r="F383">
        <f t="shared" si="29"/>
        <v>385</v>
      </c>
      <c r="G383">
        <f t="shared" si="32"/>
        <v>384</v>
      </c>
      <c r="H383" t="s">
        <v>1255</v>
      </c>
      <c r="I383" t="str">
        <f t="shared" si="30"/>
        <v xml:space="preserve">    384 : "marcus-p",</v>
      </c>
    </row>
    <row r="384" spans="3:9">
      <c r="C384">
        <f t="shared" si="31"/>
        <v>386</v>
      </c>
      <c r="D384" t="s">
        <v>626</v>
      </c>
      <c r="E384" t="str">
        <f t="shared" si="28"/>
        <v xml:space="preserve">    386 : "imperialsoldier-female",</v>
      </c>
      <c r="F384">
        <f t="shared" si="29"/>
        <v>386</v>
      </c>
      <c r="G384">
        <f t="shared" si="32"/>
        <v>385</v>
      </c>
      <c r="H384" t="s">
        <v>1256</v>
      </c>
      <c r="I384" t="str">
        <f t="shared" si="30"/>
        <v xml:space="preserve">    385 : "maria-p",</v>
      </c>
    </row>
    <row r="385" spans="3:9">
      <c r="C385">
        <f t="shared" si="31"/>
        <v>387</v>
      </c>
      <c r="D385" t="s">
        <v>627</v>
      </c>
      <c r="E385" t="str">
        <f t="shared" si="28"/>
        <v xml:space="preserve">    387 : "impresario",</v>
      </c>
      <c r="F385">
        <f t="shared" si="29"/>
        <v>387</v>
      </c>
      <c r="G385">
        <f t="shared" si="32"/>
        <v>386</v>
      </c>
      <c r="H385" t="s">
        <v>1257</v>
      </c>
      <c r="I385" t="str">
        <f t="shared" si="30"/>
        <v xml:space="preserve">    386 : "mario-p",</v>
      </c>
    </row>
    <row r="386" spans="3:9">
      <c r="C386">
        <f t="shared" si="31"/>
        <v>388</v>
      </c>
      <c r="D386" t="s">
        <v>628</v>
      </c>
      <c r="E386" t="str">
        <f t="shared" si="28"/>
        <v xml:space="preserve">    388 : "ingus",</v>
      </c>
      <c r="F386">
        <f t="shared" si="29"/>
        <v>388</v>
      </c>
      <c r="G386">
        <f t="shared" si="32"/>
        <v>387</v>
      </c>
      <c r="H386" t="s">
        <v>1258</v>
      </c>
      <c r="I386" t="str">
        <f t="shared" si="30"/>
        <v xml:space="preserve">    387 : "marisa-p",</v>
      </c>
    </row>
    <row r="387" spans="3:9">
      <c r="C387">
        <f t="shared" si="31"/>
        <v>389</v>
      </c>
      <c r="D387" t="s">
        <v>629</v>
      </c>
      <c r="E387" t="str">
        <f t="shared" si="28"/>
        <v xml:space="preserve">    389 : "interceptor",</v>
      </c>
      <c r="F387">
        <f t="shared" si="29"/>
        <v>389</v>
      </c>
      <c r="G387">
        <f t="shared" si="32"/>
        <v>388</v>
      </c>
      <c r="H387" t="s">
        <v>1259</v>
      </c>
      <c r="I387" t="str">
        <f t="shared" si="30"/>
        <v xml:space="preserve">    388 : "marle-p",</v>
      </c>
    </row>
    <row r="388" spans="3:9">
      <c r="C388">
        <f t="shared" si="31"/>
        <v>390</v>
      </c>
      <c r="D388" t="s">
        <v>630</v>
      </c>
      <c r="E388" t="str">
        <f t="shared" si="28"/>
        <v xml:space="preserve">    390 : "iris",</v>
      </c>
      <c r="F388">
        <f t="shared" si="29"/>
        <v>390</v>
      </c>
      <c r="G388">
        <f t="shared" si="32"/>
        <v>389</v>
      </c>
      <c r="H388" t="s">
        <v>1260</v>
      </c>
      <c r="I388" t="str">
        <f t="shared" si="30"/>
        <v xml:space="preserve">    389 : "master-ff1-p",</v>
      </c>
    </row>
    <row r="389" spans="3:9">
      <c r="C389">
        <f t="shared" si="31"/>
        <v>391</v>
      </c>
      <c r="D389" t="s">
        <v>631</v>
      </c>
      <c r="E389" t="str">
        <f t="shared" si="28"/>
        <v xml:space="preserve">    391 : "irvine",</v>
      </c>
      <c r="F389">
        <f t="shared" si="29"/>
        <v>391</v>
      </c>
      <c r="G389">
        <f t="shared" si="32"/>
        <v>390</v>
      </c>
      <c r="H389" t="s">
        <v>1261</v>
      </c>
      <c r="I389" t="str">
        <f t="shared" si="30"/>
        <v xml:space="preserve">    390 : "mastersword-p",</v>
      </c>
    </row>
    <row r="390" spans="3:9">
      <c r="C390">
        <f t="shared" si="31"/>
        <v>392</v>
      </c>
      <c r="D390" t="s">
        <v>632</v>
      </c>
      <c r="E390" t="str">
        <f t="shared" si="28"/>
        <v xml:space="preserve">    392 : "itachi",</v>
      </c>
      <c r="F390">
        <f t="shared" si="29"/>
        <v>392</v>
      </c>
      <c r="G390">
        <f t="shared" si="32"/>
        <v>391</v>
      </c>
      <c r="H390" t="s">
        <v>1262</v>
      </c>
      <c r="I390" t="str">
        <f t="shared" si="30"/>
        <v xml:space="preserve">    391 : "matoya-p",</v>
      </c>
    </row>
    <row r="391" spans="3:9">
      <c r="C391">
        <f t="shared" si="31"/>
        <v>393</v>
      </c>
      <c r="D391" t="s">
        <v>633</v>
      </c>
      <c r="E391" t="str">
        <f t="shared" si="28"/>
        <v xml:space="preserve">    393 : "jecht",</v>
      </c>
      <c r="F391">
        <f t="shared" si="29"/>
        <v>393</v>
      </c>
      <c r="G391">
        <f t="shared" si="32"/>
        <v>392</v>
      </c>
      <c r="H391" t="s">
        <v>1263</v>
      </c>
      <c r="I391" t="str">
        <f t="shared" si="30"/>
        <v xml:space="preserve">    392 : "maxim-p",</v>
      </c>
    </row>
    <row r="392" spans="3:9">
      <c r="C392">
        <f t="shared" si="31"/>
        <v>394</v>
      </c>
      <c r="D392" t="s">
        <v>634</v>
      </c>
      <c r="E392" t="str">
        <f t="shared" ref="E392:E455" si="33">"    "&amp;C392&amp;" : """&amp;D392&amp;""","</f>
        <v xml:space="preserve">    394 : "jennybot",</v>
      </c>
      <c r="F392">
        <f t="shared" si="29"/>
        <v>394</v>
      </c>
      <c r="G392">
        <f t="shared" si="32"/>
        <v>393</v>
      </c>
      <c r="H392" t="s">
        <v>1264</v>
      </c>
      <c r="I392" t="str">
        <f t="shared" si="30"/>
        <v xml:space="preserve">    393 : "megaman-p",</v>
      </c>
    </row>
    <row r="393" spans="3:9">
      <c r="C393">
        <f t="shared" si="31"/>
        <v>395</v>
      </c>
      <c r="D393" t="s">
        <v>635</v>
      </c>
      <c r="E393" t="str">
        <f t="shared" si="33"/>
        <v xml:space="preserve">    395 : "jessie7",</v>
      </c>
      <c r="F393">
        <f t="shared" si="29"/>
        <v>395</v>
      </c>
      <c r="G393">
        <f t="shared" si="32"/>
        <v>394</v>
      </c>
      <c r="H393" t="s">
        <v>1265</v>
      </c>
      <c r="I393" t="str">
        <f t="shared" si="30"/>
        <v xml:space="preserve">    394 : "merchant-amano-p",</v>
      </c>
    </row>
    <row r="394" spans="3:9">
      <c r="C394">
        <f t="shared" si="31"/>
        <v>396</v>
      </c>
      <c r="D394" t="s">
        <v>636</v>
      </c>
      <c r="E394" t="str">
        <f t="shared" si="33"/>
        <v xml:space="preserve">    396 : "jevil",</v>
      </c>
      <c r="F394">
        <f t="shared" si="29"/>
        <v>396</v>
      </c>
      <c r="G394">
        <f t="shared" si="32"/>
        <v>395</v>
      </c>
      <c r="H394" t="s">
        <v>1266</v>
      </c>
      <c r="I394" t="str">
        <f t="shared" si="30"/>
        <v xml:space="preserve">    395 : "metroid-p",</v>
      </c>
    </row>
    <row r="395" spans="3:9">
      <c r="C395">
        <f t="shared" si="31"/>
        <v>397</v>
      </c>
      <c r="D395" t="s">
        <v>637</v>
      </c>
      <c r="E395" t="str">
        <f t="shared" si="33"/>
        <v xml:space="preserve">    397 : "johnny",</v>
      </c>
      <c r="F395">
        <f t="shared" si="29"/>
        <v>397</v>
      </c>
      <c r="G395">
        <f t="shared" si="32"/>
        <v>396</v>
      </c>
      <c r="H395" t="s">
        <v>1267</v>
      </c>
      <c r="I395" t="str">
        <f t="shared" si="30"/>
        <v xml:space="preserve">    396 : "mid-p",</v>
      </c>
    </row>
    <row r="396" spans="3:9">
      <c r="C396">
        <f t="shared" si="31"/>
        <v>398</v>
      </c>
      <c r="D396" t="s">
        <v>638</v>
      </c>
      <c r="E396" t="str">
        <f t="shared" si="33"/>
        <v xml:space="preserve">    398 : "josef",</v>
      </c>
      <c r="F396">
        <f t="shared" si="29"/>
        <v>398</v>
      </c>
      <c r="G396">
        <f t="shared" si="32"/>
        <v>397</v>
      </c>
      <c r="H396" t="s">
        <v>1268</v>
      </c>
      <c r="I396" t="str">
        <f t="shared" si="30"/>
        <v xml:space="preserve">    397 : "miluda-p",</v>
      </c>
    </row>
    <row r="397" spans="3:9">
      <c r="C397">
        <f t="shared" si="31"/>
        <v>399</v>
      </c>
      <c r="D397" t="s">
        <v>639</v>
      </c>
      <c r="E397" t="str">
        <f t="shared" si="33"/>
        <v xml:space="preserve">    399 : "jripper",</v>
      </c>
      <c r="F397">
        <f t="shared" si="29"/>
        <v>399</v>
      </c>
      <c r="G397">
        <f t="shared" si="32"/>
        <v>398</v>
      </c>
      <c r="H397" t="s">
        <v>1269</v>
      </c>
      <c r="I397" t="str">
        <f t="shared" si="30"/>
        <v xml:space="preserve">    398 : "mini-p",</v>
      </c>
    </row>
    <row r="398" spans="3:9">
      <c r="C398">
        <f t="shared" si="31"/>
        <v>400</v>
      </c>
      <c r="D398" t="s">
        <v>640</v>
      </c>
      <c r="E398" t="str">
        <f t="shared" si="33"/>
        <v xml:space="preserve">    400 : "judge",</v>
      </c>
      <c r="F398">
        <f t="shared" si="29"/>
        <v>400</v>
      </c>
      <c r="G398">
        <f t="shared" si="32"/>
        <v>399</v>
      </c>
      <c r="H398" t="s">
        <v>1270</v>
      </c>
      <c r="I398" t="str">
        <f t="shared" si="30"/>
        <v xml:space="preserve">    399 : "minwu-p",</v>
      </c>
    </row>
    <row r="399" spans="3:9">
      <c r="C399">
        <f t="shared" si="31"/>
        <v>401</v>
      </c>
      <c r="D399" t="s">
        <v>641</v>
      </c>
      <c r="E399" t="str">
        <f t="shared" si="33"/>
        <v xml:space="preserve">    401 : "kain",</v>
      </c>
      <c r="F399">
        <f t="shared" si="29"/>
        <v>401</v>
      </c>
      <c r="G399">
        <f t="shared" si="32"/>
        <v>400</v>
      </c>
      <c r="H399" t="s">
        <v>1271</v>
      </c>
      <c r="I399" t="str">
        <f t="shared" si="30"/>
        <v xml:space="preserve">    400 : "monk-f-p",</v>
      </c>
    </row>
    <row r="400" spans="3:9">
      <c r="C400">
        <f t="shared" si="31"/>
        <v>402</v>
      </c>
      <c r="D400" t="s">
        <v>642</v>
      </c>
      <c r="E400" t="str">
        <f t="shared" si="33"/>
        <v xml:space="preserve">    402 : "kakashi-slash",</v>
      </c>
      <c r="F400">
        <f t="shared" si="29"/>
        <v>402</v>
      </c>
      <c r="G400">
        <f t="shared" si="32"/>
        <v>401</v>
      </c>
      <c r="H400" t="s">
        <v>1272</v>
      </c>
      <c r="I400" t="str">
        <f t="shared" si="30"/>
        <v xml:space="preserve">    401 : "monk-m-p",</v>
      </c>
    </row>
    <row r="401" spans="3:9">
      <c r="C401">
        <f t="shared" si="31"/>
        <v>403</v>
      </c>
      <c r="D401" t="s">
        <v>643</v>
      </c>
      <c r="E401" t="str">
        <f t="shared" si="33"/>
        <v xml:space="preserve">    403 : "kakashi",</v>
      </c>
      <c r="F401">
        <f t="shared" si="29"/>
        <v>403</v>
      </c>
      <c r="G401">
        <f t="shared" si="32"/>
        <v>402</v>
      </c>
      <c r="H401" t="s">
        <v>1273</v>
      </c>
      <c r="I401" t="str">
        <f t="shared" si="30"/>
        <v xml:space="preserve">    402 : "moogle-12-p",</v>
      </c>
    </row>
    <row r="402" spans="3:9">
      <c r="C402">
        <f t="shared" si="31"/>
        <v>404</v>
      </c>
      <c r="D402" t="s">
        <v>644</v>
      </c>
      <c r="E402" t="str">
        <f t="shared" si="33"/>
        <v xml:space="preserve">    404 : "kakuzu",</v>
      </c>
      <c r="F402">
        <f t="shared" si="29"/>
        <v>404</v>
      </c>
      <c r="G402">
        <f t="shared" si="32"/>
        <v>403</v>
      </c>
      <c r="H402" t="s">
        <v>1274</v>
      </c>
      <c r="I402" t="str">
        <f t="shared" si="30"/>
        <v xml:space="preserve">    403 : "moogle-caitsith-p",</v>
      </c>
    </row>
    <row r="403" spans="3:9">
      <c r="C403">
        <f t="shared" si="31"/>
        <v>405</v>
      </c>
      <c r="D403" t="s">
        <v>645</v>
      </c>
      <c r="E403" t="str">
        <f t="shared" si="33"/>
        <v xml:space="preserve">    405 : "kappa",</v>
      </c>
      <c r="F403">
        <f t="shared" si="29"/>
        <v>405</v>
      </c>
      <c r="G403">
        <f t="shared" si="32"/>
        <v>404</v>
      </c>
      <c r="H403" t="s">
        <v>1275</v>
      </c>
      <c r="I403" t="str">
        <f t="shared" si="30"/>
        <v xml:space="preserve">    404 : "moogle-geohat-p",</v>
      </c>
    </row>
    <row r="404" spans="3:9">
      <c r="C404">
        <f t="shared" si="31"/>
        <v>406</v>
      </c>
      <c r="D404" t="s">
        <v>646</v>
      </c>
      <c r="E404" t="str">
        <f t="shared" si="33"/>
        <v xml:space="preserve">    406 : "katarin",</v>
      </c>
      <c r="F404">
        <f t="shared" si="29"/>
        <v>406</v>
      </c>
      <c r="G404">
        <f t="shared" si="32"/>
        <v>405</v>
      </c>
      <c r="H404" t="s">
        <v>1276</v>
      </c>
      <c r="I404" t="str">
        <f t="shared" si="30"/>
        <v xml:space="preserve">    405 : "moogle-pj-p",</v>
      </c>
    </row>
    <row r="405" spans="3:9">
      <c r="C405">
        <f t="shared" si="31"/>
        <v>407</v>
      </c>
      <c r="D405" t="s">
        <v>647</v>
      </c>
      <c r="E405" t="str">
        <f t="shared" si="33"/>
        <v xml:space="preserve">    407 : "kefka_riding",</v>
      </c>
      <c r="F405">
        <f t="shared" si="29"/>
        <v>407</v>
      </c>
      <c r="G405">
        <f t="shared" si="32"/>
        <v>406</v>
      </c>
      <c r="H405" t="s">
        <v>1277</v>
      </c>
      <c r="I405" t="str">
        <f t="shared" si="30"/>
        <v xml:space="preserve">    406 : "mrsaturn-p",</v>
      </c>
    </row>
    <row r="406" spans="3:9">
      <c r="C406">
        <f t="shared" si="31"/>
        <v>408</v>
      </c>
      <c r="D406" t="s">
        <v>648</v>
      </c>
      <c r="E406" t="str">
        <f t="shared" si="33"/>
        <v xml:space="preserve">    408 : "kelgar",</v>
      </c>
      <c r="F406">
        <f t="shared" si="29"/>
        <v>408</v>
      </c>
      <c r="G406">
        <f t="shared" si="32"/>
        <v>407</v>
      </c>
      <c r="H406" t="s">
        <v>1278</v>
      </c>
      <c r="I406" t="str">
        <f t="shared" si="30"/>
        <v xml:space="preserve">    407 : "mustadio-p",</v>
      </c>
    </row>
    <row r="407" spans="3:9">
      <c r="C407">
        <f t="shared" si="31"/>
        <v>409</v>
      </c>
      <c r="D407" t="s">
        <v>649</v>
      </c>
      <c r="E407" t="str">
        <f t="shared" si="33"/>
        <v xml:space="preserve">    409 : "kiki",</v>
      </c>
      <c r="F407">
        <f t="shared" si="29"/>
        <v>409</v>
      </c>
      <c r="G407">
        <f t="shared" si="32"/>
        <v>408</v>
      </c>
      <c r="H407" t="s">
        <v>1279</v>
      </c>
      <c r="I407" t="str">
        <f t="shared" si="30"/>
        <v xml:space="preserve">    408 : "myers-p",</v>
      </c>
    </row>
    <row r="408" spans="3:9">
      <c r="C408">
        <f t="shared" si="31"/>
        <v>410</v>
      </c>
      <c r="D408" t="s">
        <v>650</v>
      </c>
      <c r="E408" t="str">
        <f t="shared" si="33"/>
        <v xml:space="preserve">    410 : "kimahri",</v>
      </c>
      <c r="F408">
        <f t="shared" si="29"/>
        <v>410</v>
      </c>
      <c r="G408">
        <f t="shared" si="32"/>
        <v>409</v>
      </c>
      <c r="H408" t="s">
        <v>1280</v>
      </c>
      <c r="I408" t="str">
        <f t="shared" si="30"/>
        <v xml:space="preserve">    409 : "mysticknight-p",</v>
      </c>
    </row>
    <row r="409" spans="3:9">
      <c r="C409">
        <f t="shared" si="31"/>
        <v>411</v>
      </c>
      <c r="D409" t="s">
        <v>651</v>
      </c>
      <c r="E409" t="str">
        <f t="shared" si="33"/>
        <v xml:space="preserve">    411 : "kirby",</v>
      </c>
      <c r="F409">
        <f t="shared" si="29"/>
        <v>411</v>
      </c>
      <c r="G409">
        <f t="shared" si="32"/>
        <v>410</v>
      </c>
      <c r="H409" t="s">
        <v>1281</v>
      </c>
      <c r="I409" t="str">
        <f t="shared" si="30"/>
        <v xml:space="preserve">    410 : "nabaat-p",</v>
      </c>
    </row>
    <row r="410" spans="3:9">
      <c r="C410">
        <f t="shared" si="31"/>
        <v>412</v>
      </c>
      <c r="D410" t="s">
        <v>652</v>
      </c>
      <c r="E410" t="str">
        <f t="shared" si="33"/>
        <v xml:space="preserve">    412 : "kiros-soldier",</v>
      </c>
      <c r="F410">
        <f t="shared" si="29"/>
        <v>412</v>
      </c>
      <c r="G410">
        <f t="shared" si="32"/>
        <v>411</v>
      </c>
      <c r="H410" t="s">
        <v>1282</v>
      </c>
      <c r="I410" t="str">
        <f t="shared" si="30"/>
        <v xml:space="preserve">    411 : "nakoruru-p",</v>
      </c>
    </row>
    <row r="411" spans="3:9">
      <c r="C411">
        <f t="shared" si="31"/>
        <v>413</v>
      </c>
      <c r="D411" t="s">
        <v>653</v>
      </c>
      <c r="E411" t="str">
        <f t="shared" si="33"/>
        <v xml:space="preserve">    413 : "kisame",</v>
      </c>
      <c r="F411">
        <f t="shared" si="29"/>
        <v>413</v>
      </c>
      <c r="G411">
        <f t="shared" si="32"/>
        <v>412</v>
      </c>
      <c r="H411" t="s">
        <v>1283</v>
      </c>
      <c r="I411" t="str">
        <f t="shared" si="30"/>
        <v xml:space="preserve">    412 : "narsheguard-p",</v>
      </c>
    </row>
    <row r="412" spans="3:9">
      <c r="C412">
        <f t="shared" si="31"/>
        <v>414</v>
      </c>
      <c r="D412" t="s">
        <v>654</v>
      </c>
      <c r="E412" t="str">
        <f t="shared" si="33"/>
        <v xml:space="preserve">    414 : "knight",</v>
      </c>
      <c r="F412">
        <f t="shared" si="29"/>
        <v>414</v>
      </c>
      <c r="G412">
        <f t="shared" si="32"/>
        <v>413</v>
      </c>
      <c r="H412" t="s">
        <v>1284</v>
      </c>
      <c r="I412" t="str">
        <f t="shared" si="30"/>
        <v xml:space="preserve">    413 : "neclord-p",</v>
      </c>
    </row>
    <row r="413" spans="3:9">
      <c r="C413">
        <f t="shared" si="31"/>
        <v>415</v>
      </c>
      <c r="D413" t="s">
        <v>655</v>
      </c>
      <c r="E413" t="str">
        <f t="shared" si="33"/>
        <v xml:space="preserve">    415 : "knuckles",</v>
      </c>
      <c r="F413">
        <f t="shared" si="29"/>
        <v>415</v>
      </c>
      <c r="G413">
        <f t="shared" si="32"/>
        <v>414</v>
      </c>
      <c r="H413" t="s">
        <v>1285</v>
      </c>
      <c r="I413" t="str">
        <f t="shared" si="30"/>
        <v xml:space="preserve">    414 : "nepgear-p",</v>
      </c>
    </row>
    <row r="414" spans="3:9">
      <c r="C414">
        <f t="shared" si="31"/>
        <v>416</v>
      </c>
      <c r="D414" t="s">
        <v>656</v>
      </c>
      <c r="E414" t="str">
        <f t="shared" si="33"/>
        <v xml:space="preserve">    416 : "konan",</v>
      </c>
      <c r="F414">
        <f t="shared" si="29"/>
        <v>416</v>
      </c>
      <c r="G414">
        <f t="shared" si="32"/>
        <v>415</v>
      </c>
      <c r="H414" t="s">
        <v>1286</v>
      </c>
      <c r="I414" t="str">
        <f t="shared" si="30"/>
        <v xml:space="preserve">    415 : "neptune-adult-p",</v>
      </c>
    </row>
    <row r="415" spans="3:9">
      <c r="C415">
        <f t="shared" si="31"/>
        <v>417</v>
      </c>
      <c r="D415" t="s">
        <v>657</v>
      </c>
      <c r="E415" t="str">
        <f t="shared" si="33"/>
        <v xml:space="preserve">    417 : "krile",</v>
      </c>
      <c r="F415">
        <f t="shared" si="29"/>
        <v>417</v>
      </c>
      <c r="G415">
        <f t="shared" si="32"/>
        <v>416</v>
      </c>
      <c r="H415" t="s">
        <v>1287</v>
      </c>
      <c r="I415" t="str">
        <f t="shared" si="30"/>
        <v xml:space="preserve">    416 : "neptune-p",</v>
      </c>
    </row>
    <row r="416" spans="3:9">
      <c r="C416">
        <f t="shared" si="31"/>
        <v>418</v>
      </c>
      <c r="D416" t="s">
        <v>658</v>
      </c>
      <c r="E416" t="str">
        <f t="shared" si="33"/>
        <v xml:space="preserve">    418 : "kuja",</v>
      </c>
      <c r="F416">
        <f t="shared" ref="F416:F479" si="34">C416</f>
        <v>418</v>
      </c>
      <c r="G416">
        <f t="shared" si="32"/>
        <v>417</v>
      </c>
      <c r="H416" t="s">
        <v>1288</v>
      </c>
      <c r="I416" t="str">
        <f t="shared" ref="I416:I479" si="35">"    "&amp;G416&amp;" : """&amp;H416&amp;""","</f>
        <v xml:space="preserve">    417 : "ness-p",</v>
      </c>
    </row>
    <row r="417" spans="3:9">
      <c r="C417">
        <f t="shared" ref="C417:C480" si="36">C416+1</f>
        <v>419</v>
      </c>
      <c r="D417" t="s">
        <v>659</v>
      </c>
      <c r="E417" t="str">
        <f t="shared" si="33"/>
        <v xml:space="preserve">    419 : "kula",</v>
      </c>
      <c r="F417">
        <f t="shared" si="34"/>
        <v>419</v>
      </c>
      <c r="G417">
        <f t="shared" si="32"/>
        <v>418</v>
      </c>
      <c r="H417" t="s">
        <v>1289</v>
      </c>
      <c r="I417" t="str">
        <f t="shared" si="35"/>
        <v xml:space="preserve">    418 : "ninja-female-p",</v>
      </c>
    </row>
    <row r="418" spans="3:9">
      <c r="C418">
        <f t="shared" si="36"/>
        <v>420</v>
      </c>
      <c r="D418" t="s">
        <v>660</v>
      </c>
      <c r="E418" t="str">
        <f t="shared" si="33"/>
        <v xml:space="preserve">    420 : "lady",</v>
      </c>
      <c r="F418">
        <f t="shared" si="34"/>
        <v>420</v>
      </c>
      <c r="G418">
        <f t="shared" si="32"/>
        <v>419</v>
      </c>
      <c r="H418" t="s">
        <v>1290</v>
      </c>
      <c r="I418" t="str">
        <f t="shared" si="35"/>
        <v xml:space="preserve">    419 : "ninja-p",</v>
      </c>
    </row>
    <row r="419" spans="3:9">
      <c r="C419">
        <f t="shared" si="36"/>
        <v>421</v>
      </c>
      <c r="D419" t="s">
        <v>661</v>
      </c>
      <c r="E419" t="str">
        <f t="shared" si="33"/>
        <v xml:space="preserve">    421 : "laguna-soldier",</v>
      </c>
      <c r="F419">
        <f t="shared" si="34"/>
        <v>421</v>
      </c>
      <c r="G419">
        <f t="shared" si="32"/>
        <v>420</v>
      </c>
      <c r="H419" t="s">
        <v>1291</v>
      </c>
      <c r="I419" t="str">
        <f t="shared" si="35"/>
        <v xml:space="preserve">    420 : "noctis-p",</v>
      </c>
    </row>
    <row r="420" spans="3:9">
      <c r="C420">
        <f t="shared" si="36"/>
        <v>422</v>
      </c>
      <c r="D420" t="s">
        <v>662</v>
      </c>
      <c r="E420" t="str">
        <f t="shared" si="33"/>
        <v xml:space="preserve">    422 : "laguna",</v>
      </c>
      <c r="F420">
        <f t="shared" si="34"/>
        <v>422</v>
      </c>
      <c r="G420">
        <f t="shared" si="32"/>
        <v>421</v>
      </c>
      <c r="H420" t="s">
        <v>1292</v>
      </c>
      <c r="I420" t="str">
        <f t="shared" si="35"/>
        <v xml:space="preserve">    421 : "noire-p",</v>
      </c>
    </row>
    <row r="421" spans="3:9">
      <c r="C421">
        <f t="shared" si="36"/>
        <v>423</v>
      </c>
      <c r="D421" t="s">
        <v>663</v>
      </c>
      <c r="E421" t="str">
        <f t="shared" si="33"/>
        <v xml:space="preserve">    423 : "lamp",</v>
      </c>
      <c r="F421">
        <f t="shared" si="34"/>
        <v>423</v>
      </c>
      <c r="G421">
        <f t="shared" si="32"/>
        <v>422</v>
      </c>
      <c r="H421" t="s">
        <v>1293</v>
      </c>
      <c r="I421" t="str">
        <f t="shared" si="35"/>
        <v xml:space="preserve">    422 : "nora-p",</v>
      </c>
    </row>
    <row r="422" spans="3:9">
      <c r="C422">
        <f t="shared" si="36"/>
        <v>424</v>
      </c>
      <c r="D422" t="s">
        <v>664</v>
      </c>
      <c r="E422" t="str">
        <f t="shared" si="33"/>
        <v xml:space="preserve">    424 : "larsa",</v>
      </c>
      <c r="F422">
        <f t="shared" si="34"/>
        <v>424</v>
      </c>
      <c r="G422">
        <f t="shared" si="32"/>
        <v>423</v>
      </c>
      <c r="H422" t="s">
        <v>1294</v>
      </c>
      <c r="I422" t="str">
        <f t="shared" si="35"/>
        <v xml:space="preserve">    423 : "nun-p",</v>
      </c>
    </row>
    <row r="423" spans="3:9">
      <c r="C423">
        <f t="shared" si="36"/>
        <v>425</v>
      </c>
      <c r="D423" t="s">
        <v>665</v>
      </c>
      <c r="E423" t="str">
        <f t="shared" si="33"/>
        <v xml:space="preserve">    425 : "leila",</v>
      </c>
      <c r="F423">
        <f t="shared" si="34"/>
        <v>425</v>
      </c>
      <c r="G423">
        <f t="shared" si="32"/>
        <v>424</v>
      </c>
      <c r="H423" t="s">
        <v>1295</v>
      </c>
      <c r="I423" t="str">
        <f t="shared" si="35"/>
        <v xml:space="preserve">    424 : "oddish-p",</v>
      </c>
    </row>
    <row r="424" spans="3:9">
      <c r="C424">
        <f t="shared" si="36"/>
        <v>426</v>
      </c>
      <c r="D424" t="s">
        <v>666</v>
      </c>
      <c r="E424" t="str">
        <f t="shared" si="33"/>
        <v xml:space="preserve">    426 : "lemming",</v>
      </c>
      <c r="F424">
        <f t="shared" si="34"/>
        <v>426</v>
      </c>
      <c r="G424">
        <f t="shared" si="32"/>
        <v>425</v>
      </c>
      <c r="H424" t="s">
        <v>1296</v>
      </c>
      <c r="I424" t="str">
        <f t="shared" si="35"/>
        <v xml:space="preserve">    425 : "officer-female-p",</v>
      </c>
    </row>
    <row r="425" spans="3:9">
      <c r="C425">
        <f t="shared" si="36"/>
        <v>427</v>
      </c>
      <c r="D425" t="s">
        <v>667</v>
      </c>
      <c r="E425" t="str">
        <f t="shared" si="33"/>
        <v xml:space="preserve">    427 : "lenna-beastmaster",</v>
      </c>
      <c r="F425">
        <f t="shared" si="34"/>
        <v>427</v>
      </c>
      <c r="G425">
        <f t="shared" si="32"/>
        <v>426</v>
      </c>
      <c r="H425" t="s">
        <v>1297</v>
      </c>
      <c r="I425" t="str">
        <f t="shared" si="35"/>
        <v xml:space="preserve">    426 : "oglop-p",</v>
      </c>
    </row>
    <row r="426" spans="3:9">
      <c r="C426">
        <f t="shared" si="36"/>
        <v>428</v>
      </c>
      <c r="D426" t="s">
        <v>668</v>
      </c>
      <c r="E426" t="str">
        <f t="shared" si="33"/>
        <v xml:space="preserve">    428 : "lenna-dancer",</v>
      </c>
      <c r="F426">
        <f t="shared" si="34"/>
        <v>428</v>
      </c>
      <c r="G426">
        <f t="shared" si="32"/>
        <v>427</v>
      </c>
      <c r="H426" t="s">
        <v>1298</v>
      </c>
      <c r="I426" t="str">
        <f t="shared" si="35"/>
        <v xml:space="preserve">    427 : "oldman-p",</v>
      </c>
    </row>
    <row r="427" spans="3:9">
      <c r="C427">
        <f t="shared" si="36"/>
        <v>429</v>
      </c>
      <c r="D427" t="s">
        <v>669</v>
      </c>
      <c r="E427" t="str">
        <f t="shared" si="33"/>
        <v xml:space="preserve">    429 : "lenna-knight",</v>
      </c>
      <c r="F427">
        <f t="shared" si="34"/>
        <v>429</v>
      </c>
      <c r="G427">
        <f t="shared" si="32"/>
        <v>428</v>
      </c>
      <c r="H427" t="s">
        <v>1299</v>
      </c>
      <c r="I427" t="str">
        <f t="shared" si="35"/>
        <v xml:space="preserve">    428 : "omega-p",</v>
      </c>
    </row>
    <row r="428" spans="3:9">
      <c r="C428">
        <f t="shared" si="36"/>
        <v>430</v>
      </c>
      <c r="D428" t="s">
        <v>670</v>
      </c>
      <c r="E428" t="str">
        <f t="shared" si="33"/>
        <v xml:space="preserve">    430 : "lenna-mime",</v>
      </c>
      <c r="F428">
        <f t="shared" si="34"/>
        <v>430</v>
      </c>
      <c r="G428">
        <f t="shared" si="32"/>
        <v>429</v>
      </c>
      <c r="H428" t="s">
        <v>1300</v>
      </c>
      <c r="I428" t="str">
        <f t="shared" si="35"/>
        <v xml:space="preserve">    429 : "onionknight-p",</v>
      </c>
    </row>
    <row r="429" spans="3:9">
      <c r="C429">
        <f t="shared" si="36"/>
        <v>431</v>
      </c>
      <c r="D429" t="s">
        <v>671</v>
      </c>
      <c r="E429" t="str">
        <f t="shared" si="33"/>
        <v xml:space="preserve">    431 : "lenna-ranger",</v>
      </c>
      <c r="F429">
        <f t="shared" si="34"/>
        <v>431</v>
      </c>
      <c r="G429">
        <f t="shared" si="32"/>
        <v>430</v>
      </c>
      <c r="H429" t="s">
        <v>1301</v>
      </c>
      <c r="I429" t="str">
        <f t="shared" si="35"/>
        <v xml:space="preserve">    430 : "opaopa-p",</v>
      </c>
    </row>
    <row r="430" spans="3:9">
      <c r="C430">
        <f t="shared" si="36"/>
        <v>432</v>
      </c>
      <c r="D430" t="s">
        <v>672</v>
      </c>
      <c r="E430" t="str">
        <f t="shared" si="33"/>
        <v xml:space="preserve">    432 : "lenna-time-mage",</v>
      </c>
      <c r="F430">
        <f t="shared" si="34"/>
        <v>432</v>
      </c>
      <c r="G430">
        <f t="shared" si="32"/>
        <v>431</v>
      </c>
      <c r="H430" t="s">
        <v>1302</v>
      </c>
      <c r="I430" t="str">
        <f t="shared" si="35"/>
        <v xml:space="preserve">    431 : "orlandu-p",</v>
      </c>
    </row>
    <row r="431" spans="3:9">
      <c r="C431">
        <f t="shared" si="36"/>
        <v>433</v>
      </c>
      <c r="D431" t="s">
        <v>673</v>
      </c>
      <c r="E431" t="str">
        <f t="shared" si="33"/>
        <v xml:space="preserve">    433 : "lenna-white-mage",</v>
      </c>
      <c r="F431">
        <f t="shared" si="34"/>
        <v>433</v>
      </c>
      <c r="G431">
        <f t="shared" si="32"/>
        <v>432</v>
      </c>
      <c r="H431" t="s">
        <v>1303</v>
      </c>
      <c r="I431" t="str">
        <f t="shared" si="35"/>
        <v xml:space="preserve">    432 : "orochimaru-p",</v>
      </c>
    </row>
    <row r="432" spans="3:9">
      <c r="C432">
        <f t="shared" si="36"/>
        <v>434</v>
      </c>
      <c r="D432" t="s">
        <v>674</v>
      </c>
      <c r="E432" t="str">
        <f t="shared" si="33"/>
        <v xml:space="preserve">    434 : "lenna",</v>
      </c>
      <c r="F432">
        <f t="shared" si="34"/>
        <v>434</v>
      </c>
      <c r="G432">
        <f t="shared" si="32"/>
        <v>433</v>
      </c>
      <c r="H432" t="s">
        <v>1304</v>
      </c>
      <c r="I432" t="str">
        <f t="shared" si="35"/>
        <v xml:space="preserve">    433 : "ovelia-p",</v>
      </c>
    </row>
    <row r="433" spans="3:9">
      <c r="C433">
        <f t="shared" si="36"/>
        <v>435</v>
      </c>
      <c r="D433" t="s">
        <v>675</v>
      </c>
      <c r="E433" t="str">
        <f t="shared" si="33"/>
        <v xml:space="preserve">    435 : "leon",</v>
      </c>
      <c r="F433">
        <f t="shared" si="34"/>
        <v>435</v>
      </c>
      <c r="G433">
        <f t="shared" si="32"/>
        <v>434</v>
      </c>
      <c r="H433" t="s">
        <v>1305</v>
      </c>
      <c r="I433" t="str">
        <f t="shared" si="35"/>
        <v xml:space="preserve">    434 : "palom-p",</v>
      </c>
    </row>
    <row r="434" spans="3:9">
      <c r="C434">
        <f t="shared" si="36"/>
        <v>436</v>
      </c>
      <c r="D434" t="s">
        <v>676</v>
      </c>
      <c r="E434" t="str">
        <f t="shared" si="33"/>
        <v xml:space="preserve">    436 : "leo_riding",</v>
      </c>
      <c r="F434">
        <f t="shared" si="34"/>
        <v>436</v>
      </c>
      <c r="G434">
        <f t="shared" ref="G434:G497" si="37">G433+1</f>
        <v>435</v>
      </c>
      <c r="H434" t="s">
        <v>1306</v>
      </c>
      <c r="I434" t="str">
        <f t="shared" si="35"/>
        <v xml:space="preserve">    435 : "palom-tay-p",</v>
      </c>
    </row>
    <row r="435" spans="3:9">
      <c r="C435">
        <f t="shared" si="36"/>
        <v>437</v>
      </c>
      <c r="D435" t="s">
        <v>677</v>
      </c>
      <c r="E435" t="str">
        <f t="shared" si="33"/>
        <v xml:space="preserve">    437 : "letty",</v>
      </c>
      <c r="F435">
        <f t="shared" si="34"/>
        <v>437</v>
      </c>
      <c r="G435">
        <f t="shared" si="37"/>
        <v>436</v>
      </c>
      <c r="H435" t="s">
        <v>1307</v>
      </c>
      <c r="I435" t="str">
        <f t="shared" si="35"/>
        <v xml:space="preserve">    436 : "panda-p",</v>
      </c>
    </row>
    <row r="436" spans="3:9">
      <c r="C436">
        <f t="shared" si="36"/>
        <v>438</v>
      </c>
      <c r="D436" t="s">
        <v>678</v>
      </c>
      <c r="E436" t="str">
        <f t="shared" si="33"/>
        <v xml:space="preserve">    438 : "lightning",</v>
      </c>
      <c r="F436">
        <f t="shared" si="34"/>
        <v>438</v>
      </c>
      <c r="G436">
        <f t="shared" si="37"/>
        <v>437</v>
      </c>
      <c r="H436" t="s">
        <v>1308</v>
      </c>
      <c r="I436" t="str">
        <f t="shared" si="35"/>
        <v xml:space="preserve">    437 : "papyrus-p",</v>
      </c>
    </row>
    <row r="437" spans="3:9">
      <c r="C437">
        <f t="shared" si="36"/>
        <v>439</v>
      </c>
      <c r="D437" t="s">
        <v>679</v>
      </c>
      <c r="E437" t="str">
        <f t="shared" si="33"/>
        <v xml:space="preserve">    439 : "lilith",</v>
      </c>
      <c r="F437">
        <f t="shared" si="34"/>
        <v>439</v>
      </c>
      <c r="G437">
        <f t="shared" si="37"/>
        <v>438</v>
      </c>
      <c r="H437" t="s">
        <v>1309</v>
      </c>
      <c r="I437" t="str">
        <f t="shared" si="35"/>
        <v xml:space="preserve">    438 : "paul-p",</v>
      </c>
    </row>
    <row r="438" spans="3:9">
      <c r="C438">
        <f t="shared" si="36"/>
        <v>440</v>
      </c>
      <c r="D438" t="s">
        <v>680</v>
      </c>
      <c r="E438" t="str">
        <f t="shared" si="33"/>
        <v xml:space="preserve">    440 : "link",</v>
      </c>
      <c r="F438">
        <f t="shared" si="34"/>
        <v>440</v>
      </c>
      <c r="G438">
        <f t="shared" si="37"/>
        <v>439</v>
      </c>
      <c r="H438" t="s">
        <v>1310</v>
      </c>
      <c r="I438" t="str">
        <f t="shared" si="35"/>
        <v xml:space="preserve">    439 : "peach-p",</v>
      </c>
    </row>
    <row r="439" spans="3:9">
      <c r="C439">
        <f t="shared" si="36"/>
        <v>441</v>
      </c>
      <c r="D439" t="s">
        <v>681</v>
      </c>
      <c r="E439" t="str">
        <f t="shared" si="33"/>
        <v xml:space="preserve">    441 : "locke-amano",</v>
      </c>
      <c r="F439">
        <f t="shared" si="34"/>
        <v>441</v>
      </c>
      <c r="G439">
        <f t="shared" si="37"/>
        <v>440</v>
      </c>
      <c r="H439" t="s">
        <v>1311</v>
      </c>
      <c r="I439" t="str">
        <f t="shared" si="35"/>
        <v xml:space="preserve">    440 : "pecil-p",</v>
      </c>
    </row>
    <row r="440" spans="3:9">
      <c r="C440">
        <f t="shared" si="36"/>
        <v>442</v>
      </c>
      <c r="D440" t="s">
        <v>682</v>
      </c>
      <c r="E440" t="str">
        <f t="shared" si="33"/>
        <v xml:space="preserve">    442 : "locke-draco",</v>
      </c>
      <c r="F440">
        <f t="shared" si="34"/>
        <v>442</v>
      </c>
      <c r="G440">
        <f t="shared" si="37"/>
        <v>441</v>
      </c>
      <c r="H440" t="s">
        <v>1312</v>
      </c>
      <c r="I440" t="str">
        <f t="shared" si="35"/>
        <v xml:space="preserve">    441 : "penelo-p",</v>
      </c>
    </row>
    <row r="441" spans="3:9">
      <c r="C441">
        <f t="shared" si="36"/>
        <v>443</v>
      </c>
      <c r="D441" t="s">
        <v>683</v>
      </c>
      <c r="E441" t="str">
        <f t="shared" si="33"/>
        <v xml:space="preserve">    443 : "locke-firion",</v>
      </c>
      <c r="F441">
        <f t="shared" si="34"/>
        <v>443</v>
      </c>
      <c r="G441">
        <f t="shared" si="37"/>
        <v>442</v>
      </c>
      <c r="H441" t="s">
        <v>1313</v>
      </c>
      <c r="I441" t="str">
        <f t="shared" si="35"/>
        <v xml:space="preserve">    442 : "Pepsiman-p",</v>
      </c>
    </row>
    <row r="442" spans="3:9">
      <c r="C442">
        <f t="shared" si="36"/>
        <v>444</v>
      </c>
      <c r="D442" t="s">
        <v>684</v>
      </c>
      <c r="E442" t="str">
        <f t="shared" si="33"/>
        <v xml:space="preserve">    444 : "locke-squall",</v>
      </c>
      <c r="F442">
        <f t="shared" si="34"/>
        <v>444</v>
      </c>
      <c r="G442">
        <f t="shared" si="37"/>
        <v>443</v>
      </c>
      <c r="H442" t="s">
        <v>1314</v>
      </c>
      <c r="I442" t="str">
        <f t="shared" si="35"/>
        <v xml:space="preserve">    443 : "pig-p",</v>
      </c>
    </row>
    <row r="443" spans="3:9">
      <c r="C443">
        <f t="shared" si="36"/>
        <v>445</v>
      </c>
      <c r="D443" t="s">
        <v>685</v>
      </c>
      <c r="E443" t="str">
        <f t="shared" si="33"/>
        <v xml:space="preserve">    445 : "lonewolf",</v>
      </c>
      <c r="F443">
        <f t="shared" si="34"/>
        <v>445</v>
      </c>
      <c r="G443">
        <f t="shared" si="37"/>
        <v>444</v>
      </c>
      <c r="H443" t="s">
        <v>1315</v>
      </c>
      <c r="I443" t="str">
        <f t="shared" si="35"/>
        <v xml:space="preserve">    444 : "pikachu-retro-p",</v>
      </c>
    </row>
    <row r="444" spans="3:9">
      <c r="C444">
        <f t="shared" si="36"/>
        <v>446</v>
      </c>
      <c r="D444" t="s">
        <v>686</v>
      </c>
      <c r="E444" t="str">
        <f t="shared" si="33"/>
        <v xml:space="preserve">    446 : "lovers",</v>
      </c>
      <c r="F444">
        <f t="shared" si="34"/>
        <v>446</v>
      </c>
      <c r="G444">
        <f t="shared" si="37"/>
        <v>445</v>
      </c>
      <c r="H444" t="s">
        <v>1316</v>
      </c>
      <c r="I444" t="str">
        <f t="shared" si="35"/>
        <v xml:space="preserve">    445 : "piranhaplant-p",</v>
      </c>
    </row>
    <row r="445" spans="3:9">
      <c r="C445">
        <f t="shared" si="36"/>
        <v>447</v>
      </c>
      <c r="D445" t="s">
        <v>687</v>
      </c>
      <c r="E445" t="str">
        <f t="shared" si="33"/>
        <v xml:space="preserve">    447 : "lttp",</v>
      </c>
      <c r="F445">
        <f t="shared" si="34"/>
        <v>447</v>
      </c>
      <c r="G445">
        <f t="shared" si="37"/>
        <v>446</v>
      </c>
      <c r="H445" t="s">
        <v>1317</v>
      </c>
      <c r="I445" t="str">
        <f t="shared" si="35"/>
        <v xml:space="preserve">    446 : "pm-ghost-p",</v>
      </c>
    </row>
    <row r="446" spans="3:9">
      <c r="C446">
        <f t="shared" si="36"/>
        <v>448</v>
      </c>
      <c r="D446" t="s">
        <v>688</v>
      </c>
      <c r="E446" t="str">
        <f t="shared" si="33"/>
        <v xml:space="preserve">    448 : "lucca",</v>
      </c>
      <c r="F446">
        <f t="shared" si="34"/>
        <v>448</v>
      </c>
      <c r="G446">
        <f t="shared" si="37"/>
        <v>447</v>
      </c>
      <c r="H446" t="s">
        <v>1318</v>
      </c>
      <c r="I446" t="str">
        <f t="shared" si="35"/>
        <v xml:space="preserve">    447 : "pooka-p",</v>
      </c>
    </row>
    <row r="447" spans="3:9">
      <c r="C447">
        <f t="shared" si="36"/>
        <v>449</v>
      </c>
      <c r="D447" t="s">
        <v>689</v>
      </c>
      <c r="E447" t="str">
        <f t="shared" si="33"/>
        <v xml:space="preserve">    449 : "lufia",</v>
      </c>
      <c r="F447">
        <f t="shared" si="34"/>
        <v>449</v>
      </c>
      <c r="G447">
        <f t="shared" si="37"/>
        <v>448</v>
      </c>
      <c r="H447" t="s">
        <v>1319</v>
      </c>
      <c r="I447" t="str">
        <f t="shared" si="35"/>
        <v xml:space="preserve">    448 : "popo-p",</v>
      </c>
    </row>
    <row r="448" spans="3:9">
      <c r="C448">
        <f t="shared" si="36"/>
        <v>450</v>
      </c>
      <c r="D448" t="s">
        <v>690</v>
      </c>
      <c r="E448" t="str">
        <f t="shared" si="33"/>
        <v xml:space="preserve">    450 : "luigi",</v>
      </c>
      <c r="F448">
        <f t="shared" si="34"/>
        <v>450</v>
      </c>
      <c r="G448">
        <f t="shared" si="37"/>
        <v>449</v>
      </c>
      <c r="H448" t="s">
        <v>1320</v>
      </c>
      <c r="I448" t="str">
        <f t="shared" si="35"/>
        <v xml:space="preserve">    449 : "porom-p",</v>
      </c>
    </row>
    <row r="449" spans="3:9">
      <c r="C449">
        <f t="shared" si="36"/>
        <v>451</v>
      </c>
      <c r="D449" t="s">
        <v>691</v>
      </c>
      <c r="E449" t="str">
        <f t="shared" si="33"/>
        <v xml:space="preserve">    451 : "lulu",</v>
      </c>
      <c r="F449">
        <f t="shared" si="34"/>
        <v>451</v>
      </c>
      <c r="G449">
        <f t="shared" si="37"/>
        <v>450</v>
      </c>
      <c r="H449" t="s">
        <v>1321</v>
      </c>
      <c r="I449" t="str">
        <f t="shared" si="35"/>
        <v xml:space="preserve">    450 : "porom-tay-p",</v>
      </c>
    </row>
    <row r="450" spans="3:9">
      <c r="C450">
        <f t="shared" si="36"/>
        <v>452</v>
      </c>
      <c r="D450" t="s">
        <v>692</v>
      </c>
      <c r="E450" t="str">
        <f t="shared" si="33"/>
        <v xml:space="preserve">    452 : "luneth",</v>
      </c>
      <c r="F450">
        <f t="shared" si="34"/>
        <v>452</v>
      </c>
      <c r="G450">
        <f t="shared" si="37"/>
        <v>451</v>
      </c>
      <c r="H450" t="s">
        <v>1322</v>
      </c>
      <c r="I450" t="str">
        <f t="shared" si="35"/>
        <v xml:space="preserve">    451 : "potato-p",</v>
      </c>
    </row>
    <row r="451" spans="3:9">
      <c r="C451">
        <f t="shared" si="36"/>
        <v>453</v>
      </c>
      <c r="D451" t="s">
        <v>693</v>
      </c>
      <c r="E451" t="str">
        <f t="shared" si="33"/>
        <v xml:space="preserve">    453 : "madara",</v>
      </c>
      <c r="F451">
        <f t="shared" si="34"/>
        <v>453</v>
      </c>
      <c r="G451">
        <f t="shared" si="37"/>
        <v>452</v>
      </c>
      <c r="H451" t="s">
        <v>1323</v>
      </c>
      <c r="I451" t="str">
        <f t="shared" si="35"/>
        <v xml:space="preserve">    452 : "predator-p",</v>
      </c>
    </row>
    <row r="452" spans="3:9">
      <c r="C452">
        <f t="shared" si="36"/>
        <v>454</v>
      </c>
      <c r="D452" t="s">
        <v>694</v>
      </c>
      <c r="E452" t="str">
        <f t="shared" si="33"/>
        <v xml:space="preserve">    454 : "maduin",</v>
      </c>
      <c r="F452">
        <f t="shared" si="34"/>
        <v>454</v>
      </c>
      <c r="G452">
        <f t="shared" si="37"/>
        <v>453</v>
      </c>
      <c r="H452" t="s">
        <v>1324</v>
      </c>
      <c r="I452" t="str">
        <f t="shared" si="35"/>
        <v xml:space="preserve">    453 : "prisoner-p",</v>
      </c>
    </row>
    <row r="453" spans="3:9">
      <c r="C453">
        <f t="shared" si="36"/>
        <v>455</v>
      </c>
      <c r="D453" t="s">
        <v>695</v>
      </c>
      <c r="E453" t="str">
        <f t="shared" si="33"/>
        <v xml:space="preserve">    455 : "magicite",</v>
      </c>
      <c r="F453">
        <f t="shared" si="34"/>
        <v>455</v>
      </c>
      <c r="G453">
        <f t="shared" si="37"/>
        <v>454</v>
      </c>
      <c r="H453" t="s">
        <v>1325</v>
      </c>
      <c r="I453" t="str">
        <f t="shared" si="35"/>
        <v xml:space="preserve">    454 : "psicom-p",</v>
      </c>
    </row>
    <row r="454" spans="3:9">
      <c r="C454">
        <f t="shared" si="36"/>
        <v>456</v>
      </c>
      <c r="D454" t="s">
        <v>696</v>
      </c>
      <c r="E454" t="str">
        <f t="shared" si="33"/>
        <v xml:space="preserve">    456 : "magissa",</v>
      </c>
      <c r="F454">
        <f t="shared" si="34"/>
        <v>456</v>
      </c>
      <c r="G454">
        <f t="shared" si="37"/>
        <v>455</v>
      </c>
      <c r="H454" t="s">
        <v>1326</v>
      </c>
      <c r="I454" t="str">
        <f t="shared" si="35"/>
        <v xml:space="preserve">    455 : "purgedeportee-p",</v>
      </c>
    </row>
    <row r="455" spans="3:9">
      <c r="C455">
        <f t="shared" si="36"/>
        <v>457</v>
      </c>
      <c r="D455" t="s">
        <v>697</v>
      </c>
      <c r="E455" t="str">
        <f t="shared" si="33"/>
        <v xml:space="preserve">    457 : "magneto",</v>
      </c>
      <c r="F455">
        <f t="shared" si="34"/>
        <v>457</v>
      </c>
      <c r="G455">
        <f t="shared" si="37"/>
        <v>456</v>
      </c>
      <c r="H455" t="s">
        <v>1327</v>
      </c>
      <c r="I455" t="str">
        <f t="shared" si="35"/>
        <v xml:space="preserve">    456 : "purplepikmin-p",</v>
      </c>
    </row>
    <row r="456" spans="3:9">
      <c r="C456">
        <f t="shared" si="36"/>
        <v>458</v>
      </c>
      <c r="D456" t="s">
        <v>698</v>
      </c>
      <c r="E456" t="str">
        <f t="shared" ref="E456:E519" si="38">"    "&amp;C456&amp;" : """&amp;D456&amp;""","</f>
        <v xml:space="preserve">    458 : "magus",</v>
      </c>
      <c r="F456">
        <f t="shared" si="34"/>
        <v>458</v>
      </c>
      <c r="G456">
        <f t="shared" si="37"/>
        <v>457</v>
      </c>
      <c r="H456" t="s">
        <v>1328</v>
      </c>
      <c r="I456" t="str">
        <f t="shared" si="35"/>
        <v xml:space="preserve">    457 : "queenbrahne-p",</v>
      </c>
    </row>
    <row r="457" spans="3:9">
      <c r="C457">
        <f t="shared" si="36"/>
        <v>459</v>
      </c>
      <c r="D457" t="s">
        <v>699</v>
      </c>
      <c r="E457" t="str">
        <f t="shared" si="38"/>
        <v xml:space="preserve">    459 : "maid",</v>
      </c>
      <c r="F457">
        <f t="shared" si="34"/>
        <v>459</v>
      </c>
      <c r="G457">
        <f t="shared" si="37"/>
        <v>458</v>
      </c>
      <c r="H457" t="s">
        <v>1329</v>
      </c>
      <c r="I457" t="str">
        <f t="shared" si="35"/>
        <v xml:space="preserve">    458 : "quina-p",</v>
      </c>
    </row>
    <row r="458" spans="3:9">
      <c r="C458">
        <f t="shared" si="36"/>
        <v>460</v>
      </c>
      <c r="D458" t="s">
        <v>700</v>
      </c>
      <c r="E458" t="str">
        <f t="shared" si="38"/>
        <v xml:space="preserve">    460 : "malboro",</v>
      </c>
      <c r="F458">
        <f t="shared" si="34"/>
        <v>460</v>
      </c>
      <c r="G458">
        <f t="shared" si="37"/>
        <v>459</v>
      </c>
      <c r="H458" t="s">
        <v>1330</v>
      </c>
      <c r="I458" t="str">
        <f t="shared" si="35"/>
        <v xml:space="preserve">    459 : "quistis-p",</v>
      </c>
    </row>
    <row r="459" spans="3:9">
      <c r="C459">
        <f t="shared" si="36"/>
        <v>461</v>
      </c>
      <c r="D459" t="s">
        <v>701</v>
      </c>
      <c r="E459" t="str">
        <f t="shared" si="38"/>
        <v xml:space="preserve">    461 : "malin",</v>
      </c>
      <c r="F459">
        <f t="shared" si="34"/>
        <v>461</v>
      </c>
      <c r="G459">
        <f t="shared" si="37"/>
        <v>460</v>
      </c>
      <c r="H459" t="s">
        <v>1331</v>
      </c>
      <c r="I459" t="str">
        <f t="shared" si="35"/>
        <v xml:space="preserve">    460 : "rachel-p",</v>
      </c>
    </row>
    <row r="460" spans="3:9">
      <c r="C460">
        <f t="shared" si="36"/>
        <v>462</v>
      </c>
      <c r="D460" t="s">
        <v>702</v>
      </c>
      <c r="E460" t="str">
        <f t="shared" si="38"/>
        <v xml:space="preserve">    462 : "mallow",</v>
      </c>
      <c r="F460">
        <f t="shared" si="34"/>
        <v>462</v>
      </c>
      <c r="G460">
        <f t="shared" si="37"/>
        <v>461</v>
      </c>
      <c r="H460" t="s">
        <v>1332</v>
      </c>
      <c r="I460" t="str">
        <f t="shared" si="35"/>
        <v xml:space="preserve">    461 : "raditz-p",</v>
      </c>
    </row>
    <row r="461" spans="3:9">
      <c r="C461">
        <f t="shared" si="36"/>
        <v>463</v>
      </c>
      <c r="D461" t="s">
        <v>703</v>
      </c>
      <c r="E461" t="str">
        <f t="shared" si="38"/>
        <v xml:space="preserve">    463 : "man",</v>
      </c>
      <c r="F461">
        <f t="shared" si="34"/>
        <v>463</v>
      </c>
      <c r="G461">
        <f t="shared" si="37"/>
        <v>462</v>
      </c>
      <c r="H461" t="s">
        <v>1333</v>
      </c>
      <c r="I461" t="str">
        <f t="shared" si="35"/>
        <v xml:space="preserve">    462 : "ramza-p",</v>
      </c>
    </row>
    <row r="462" spans="3:9">
      <c r="C462">
        <f t="shared" si="36"/>
        <v>464</v>
      </c>
      <c r="D462" t="s">
        <v>704</v>
      </c>
      <c r="E462" t="str">
        <f t="shared" si="38"/>
        <v xml:space="preserve">    464 : "marcus",</v>
      </c>
      <c r="F462">
        <f t="shared" si="34"/>
        <v>464</v>
      </c>
      <c r="G462">
        <f t="shared" si="37"/>
        <v>463</v>
      </c>
      <c r="H462" t="s">
        <v>1334</v>
      </c>
      <c r="I462" t="str">
        <f t="shared" si="35"/>
        <v xml:space="preserve">    463 : "ramza1-p",</v>
      </c>
    </row>
    <row r="463" spans="3:9">
      <c r="C463">
        <f t="shared" si="36"/>
        <v>465</v>
      </c>
      <c r="D463" t="s">
        <v>705</v>
      </c>
      <c r="E463" t="str">
        <f t="shared" si="38"/>
        <v xml:space="preserve">    465 : "maria",</v>
      </c>
      <c r="F463">
        <f t="shared" si="34"/>
        <v>465</v>
      </c>
      <c r="G463">
        <f t="shared" si="37"/>
        <v>464</v>
      </c>
      <c r="H463" t="s">
        <v>1335</v>
      </c>
      <c r="I463" t="str">
        <f t="shared" si="35"/>
        <v xml:space="preserve">    464 : "rash-p",</v>
      </c>
    </row>
    <row r="464" spans="3:9">
      <c r="C464">
        <f t="shared" si="36"/>
        <v>466</v>
      </c>
      <c r="D464" t="s">
        <v>706</v>
      </c>
      <c r="E464" t="str">
        <f t="shared" si="38"/>
        <v xml:space="preserve">    466 : "marilith",</v>
      </c>
      <c r="F464">
        <f t="shared" si="34"/>
        <v>466</v>
      </c>
      <c r="G464">
        <f t="shared" si="37"/>
        <v>465</v>
      </c>
      <c r="H464" t="s">
        <v>1336</v>
      </c>
      <c r="I464" t="str">
        <f t="shared" si="35"/>
        <v xml:space="preserve">    465 : "reaper-p",</v>
      </c>
    </row>
    <row r="465" spans="3:9">
      <c r="C465">
        <f t="shared" si="36"/>
        <v>467</v>
      </c>
      <c r="D465" t="s">
        <v>707</v>
      </c>
      <c r="E465" t="str">
        <f t="shared" si="38"/>
        <v xml:space="preserve">    467 : "mario",</v>
      </c>
      <c r="F465">
        <f t="shared" si="34"/>
        <v>467</v>
      </c>
      <c r="G465">
        <f t="shared" si="37"/>
        <v>466</v>
      </c>
      <c r="H465" t="s">
        <v>1337</v>
      </c>
      <c r="I465" t="str">
        <f t="shared" si="35"/>
        <v xml:space="preserve">    466 : "red-p",</v>
      </c>
    </row>
    <row r="466" spans="3:9">
      <c r="C466">
        <f t="shared" si="36"/>
        <v>468</v>
      </c>
      <c r="D466" t="s">
        <v>708</v>
      </c>
      <c r="E466" t="str">
        <f t="shared" si="38"/>
        <v xml:space="preserve">    468 : "marisa",</v>
      </c>
      <c r="F466">
        <f t="shared" si="34"/>
        <v>468</v>
      </c>
      <c r="G466">
        <f t="shared" si="37"/>
        <v>467</v>
      </c>
      <c r="H466" t="s">
        <v>1338</v>
      </c>
      <c r="I466" t="str">
        <f t="shared" si="35"/>
        <v xml:space="preserve">    467 : "redmage-p",</v>
      </c>
    </row>
    <row r="467" spans="3:9">
      <c r="C467">
        <f t="shared" si="36"/>
        <v>469</v>
      </c>
      <c r="D467" t="s">
        <v>709</v>
      </c>
      <c r="E467" t="str">
        <f t="shared" si="38"/>
        <v xml:space="preserve">    469 : "marle",</v>
      </c>
      <c r="F467">
        <f t="shared" si="34"/>
        <v>469</v>
      </c>
      <c r="G467">
        <f t="shared" si="37"/>
        <v>468</v>
      </c>
      <c r="H467" t="s">
        <v>1339</v>
      </c>
      <c r="I467" t="str">
        <f t="shared" si="35"/>
        <v xml:space="preserve">    468 : "redxiii-p",</v>
      </c>
    </row>
    <row r="468" spans="3:9">
      <c r="C468">
        <f t="shared" si="36"/>
        <v>470</v>
      </c>
      <c r="D468" t="s">
        <v>710</v>
      </c>
      <c r="E468" t="str">
        <f t="shared" si="38"/>
        <v xml:space="preserve">    470 : "master-ff1",</v>
      </c>
      <c r="F468">
        <f t="shared" si="34"/>
        <v>470</v>
      </c>
      <c r="G468">
        <f t="shared" si="37"/>
        <v>469</v>
      </c>
      <c r="H468" t="s">
        <v>1340</v>
      </c>
      <c r="I468" t="str">
        <f t="shared" si="35"/>
        <v xml:space="preserve">    469 : "refia-p",</v>
      </c>
    </row>
    <row r="469" spans="3:9">
      <c r="C469">
        <f t="shared" si="36"/>
        <v>471</v>
      </c>
      <c r="D469" t="s">
        <v>711</v>
      </c>
      <c r="E469" t="str">
        <f t="shared" si="38"/>
        <v xml:space="preserve">    471 : "mastersword",</v>
      </c>
      <c r="F469">
        <f t="shared" si="34"/>
        <v>471</v>
      </c>
      <c r="G469">
        <f t="shared" si="37"/>
        <v>470</v>
      </c>
      <c r="H469" t="s">
        <v>1341</v>
      </c>
      <c r="I469" t="str">
        <f t="shared" si="35"/>
        <v xml:space="preserve">    470 : "reimu-p",</v>
      </c>
    </row>
    <row r="470" spans="3:9">
      <c r="C470">
        <f t="shared" si="36"/>
        <v>472</v>
      </c>
      <c r="D470" t="s">
        <v>712</v>
      </c>
      <c r="E470" t="str">
        <f t="shared" si="38"/>
        <v xml:space="preserve">    472 : "matoya",</v>
      </c>
      <c r="F470">
        <f t="shared" si="34"/>
        <v>472</v>
      </c>
      <c r="G470">
        <f t="shared" si="37"/>
        <v>471</v>
      </c>
      <c r="H470" t="s">
        <v>1342</v>
      </c>
      <c r="I470" t="str">
        <f t="shared" si="35"/>
        <v xml:space="preserve">    471 : "relm-amano-p",</v>
      </c>
    </row>
    <row r="471" spans="3:9">
      <c r="C471">
        <f t="shared" si="36"/>
        <v>473</v>
      </c>
      <c r="D471" t="s">
        <v>713</v>
      </c>
      <c r="E471" t="str">
        <f t="shared" si="38"/>
        <v xml:space="preserve">    473 : "maxim",</v>
      </c>
      <c r="F471">
        <f t="shared" si="34"/>
        <v>473</v>
      </c>
      <c r="G471">
        <f t="shared" si="37"/>
        <v>472</v>
      </c>
      <c r="H471" t="s">
        <v>1343</v>
      </c>
      <c r="I471" t="str">
        <f t="shared" si="35"/>
        <v xml:space="preserve">    472 : "relm-krile-p",</v>
      </c>
    </row>
    <row r="472" spans="3:9">
      <c r="C472">
        <f t="shared" si="36"/>
        <v>474</v>
      </c>
      <c r="D472" t="s">
        <v>714</v>
      </c>
      <c r="E472" t="str">
        <f t="shared" si="38"/>
        <v xml:space="preserve">    474 : "megaman",</v>
      </c>
      <c r="F472">
        <f t="shared" si="34"/>
        <v>474</v>
      </c>
      <c r="G472">
        <f t="shared" si="37"/>
        <v>473</v>
      </c>
      <c r="H472" t="s">
        <v>1344</v>
      </c>
      <c r="I472" t="str">
        <f t="shared" si="35"/>
        <v xml:space="preserve">    473 : "relm-shantotto-p",</v>
      </c>
    </row>
    <row r="473" spans="3:9">
      <c r="C473">
        <f t="shared" si="36"/>
        <v>475</v>
      </c>
      <c r="D473" t="s">
        <v>715</v>
      </c>
      <c r="E473" t="str">
        <f t="shared" si="38"/>
        <v xml:space="preserve">    475 : "merchant-amano",</v>
      </c>
      <c r="F473">
        <f t="shared" si="34"/>
        <v>475</v>
      </c>
      <c r="G473">
        <f t="shared" si="37"/>
        <v>474</v>
      </c>
      <c r="H473" t="s">
        <v>1345</v>
      </c>
      <c r="I473" t="str">
        <f t="shared" si="35"/>
        <v xml:space="preserve">    474 : "relm-whitemage-p",</v>
      </c>
    </row>
    <row r="474" spans="3:9">
      <c r="C474">
        <f t="shared" si="36"/>
        <v>476</v>
      </c>
      <c r="D474" t="s">
        <v>716</v>
      </c>
      <c r="E474" t="str">
        <f t="shared" si="38"/>
        <v xml:space="preserve">    476 : "merchant_riding",</v>
      </c>
      <c r="F474">
        <f t="shared" si="34"/>
        <v>476</v>
      </c>
      <c r="G474">
        <f t="shared" si="37"/>
        <v>475</v>
      </c>
      <c r="H474" t="s">
        <v>1346</v>
      </c>
      <c r="I474" t="str">
        <f t="shared" si="35"/>
        <v xml:space="preserve">    475 : "reno-p",</v>
      </c>
    </row>
    <row r="475" spans="3:9">
      <c r="C475">
        <f t="shared" si="36"/>
        <v>477</v>
      </c>
      <c r="D475" t="s">
        <v>717</v>
      </c>
      <c r="E475" t="str">
        <f t="shared" si="38"/>
        <v xml:space="preserve">    477 : "metroid",</v>
      </c>
      <c r="F475">
        <f t="shared" si="34"/>
        <v>477</v>
      </c>
      <c r="G475">
        <f t="shared" si="37"/>
        <v>476</v>
      </c>
      <c r="H475" t="s">
        <v>1347</v>
      </c>
      <c r="I475" t="str">
        <f t="shared" si="35"/>
        <v xml:space="preserve">    476 : "returner-p",</v>
      </c>
    </row>
    <row r="476" spans="3:9">
      <c r="C476">
        <f t="shared" si="36"/>
        <v>478</v>
      </c>
      <c r="D476" t="s">
        <v>718</v>
      </c>
      <c r="E476" t="str">
        <f t="shared" si="38"/>
        <v xml:space="preserve">    478 : "mid",</v>
      </c>
      <c r="F476">
        <f t="shared" si="34"/>
        <v>478</v>
      </c>
      <c r="G476">
        <f t="shared" si="37"/>
        <v>477</v>
      </c>
      <c r="H476" t="s">
        <v>1348</v>
      </c>
      <c r="I476" t="str">
        <f t="shared" si="35"/>
        <v xml:space="preserve">    477 : "ricard-p",</v>
      </c>
    </row>
    <row r="477" spans="3:9">
      <c r="C477">
        <f t="shared" si="36"/>
        <v>479</v>
      </c>
      <c r="D477" t="s">
        <v>719</v>
      </c>
      <c r="E477" t="str">
        <f t="shared" si="38"/>
        <v xml:space="preserve">    479 : "miluda",</v>
      </c>
      <c r="F477">
        <f t="shared" si="34"/>
        <v>479</v>
      </c>
      <c r="G477">
        <f t="shared" si="37"/>
        <v>478</v>
      </c>
      <c r="H477" t="s">
        <v>1349</v>
      </c>
      <c r="I477" t="str">
        <f t="shared" si="35"/>
        <v xml:space="preserve">    478 : "ridley-p",</v>
      </c>
    </row>
    <row r="478" spans="3:9">
      <c r="C478">
        <f t="shared" si="36"/>
        <v>480</v>
      </c>
      <c r="D478" t="s">
        <v>720</v>
      </c>
      <c r="E478" t="str">
        <f t="shared" si="38"/>
        <v xml:space="preserve">    480 : "mini",</v>
      </c>
      <c r="F478">
        <f t="shared" si="34"/>
        <v>480</v>
      </c>
      <c r="G478">
        <f t="shared" si="37"/>
        <v>479</v>
      </c>
      <c r="H478" t="s">
        <v>1350</v>
      </c>
      <c r="I478" t="str">
        <f t="shared" si="35"/>
        <v xml:space="preserve">    479 : "rikku-p",</v>
      </c>
    </row>
    <row r="479" spans="3:9">
      <c r="C479">
        <f t="shared" si="36"/>
        <v>481</v>
      </c>
      <c r="D479" t="s">
        <v>721</v>
      </c>
      <c r="E479" t="str">
        <f t="shared" si="38"/>
        <v xml:space="preserve">    481 : "minwu",</v>
      </c>
      <c r="F479">
        <f t="shared" si="34"/>
        <v>481</v>
      </c>
      <c r="G479">
        <f t="shared" si="37"/>
        <v>480</v>
      </c>
      <c r="H479" t="s">
        <v>1351</v>
      </c>
      <c r="I479" t="str">
        <f t="shared" si="35"/>
        <v xml:space="preserve">    480 : "rimururu-p",</v>
      </c>
    </row>
    <row r="480" spans="3:9">
      <c r="C480">
        <f t="shared" si="36"/>
        <v>482</v>
      </c>
      <c r="D480" t="s">
        <v>722</v>
      </c>
      <c r="E480" t="str">
        <f t="shared" si="38"/>
        <v xml:space="preserve">    482 : "monk-f",</v>
      </c>
      <c r="F480">
        <f t="shared" ref="F480:F543" si="39">C480</f>
        <v>482</v>
      </c>
      <c r="G480">
        <f t="shared" si="37"/>
        <v>481</v>
      </c>
      <c r="H480" t="s">
        <v>1352</v>
      </c>
      <c r="I480" t="str">
        <f t="shared" ref="I480:I543" si="40">"    "&amp;G480&amp;" : """&amp;H480&amp;""","</f>
        <v xml:space="preserve">    481 : "rinoa-p",</v>
      </c>
    </row>
    <row r="481" spans="3:9">
      <c r="C481">
        <f t="shared" ref="C481:C544" si="41">C480+1</f>
        <v>483</v>
      </c>
      <c r="D481" t="s">
        <v>723</v>
      </c>
      <c r="E481" t="str">
        <f t="shared" si="38"/>
        <v xml:space="preserve">    483 : "monk-m",</v>
      </c>
      <c r="F481">
        <f t="shared" si="39"/>
        <v>483</v>
      </c>
      <c r="G481">
        <f t="shared" si="37"/>
        <v>482</v>
      </c>
      <c r="H481" t="s">
        <v>1353</v>
      </c>
      <c r="I481" t="str">
        <f t="shared" si="40"/>
        <v xml:space="preserve">    482 : "robo-p",</v>
      </c>
    </row>
    <row r="482" spans="3:9">
      <c r="C482">
        <f t="shared" si="41"/>
        <v>484</v>
      </c>
      <c r="D482" t="s">
        <v>724</v>
      </c>
      <c r="E482" t="str">
        <f t="shared" si="38"/>
        <v xml:space="preserve">    484 : "moogle-12",</v>
      </c>
      <c r="F482">
        <f t="shared" si="39"/>
        <v>484</v>
      </c>
      <c r="G482">
        <f t="shared" si="37"/>
        <v>483</v>
      </c>
      <c r="H482" t="s">
        <v>1354</v>
      </c>
      <c r="I482" t="str">
        <f t="shared" si="40"/>
        <v xml:space="preserve">    483 : "rom-p",</v>
      </c>
    </row>
    <row r="483" spans="3:9">
      <c r="C483">
        <f t="shared" si="41"/>
        <v>485</v>
      </c>
      <c r="D483" t="s">
        <v>725</v>
      </c>
      <c r="E483" t="str">
        <f t="shared" si="38"/>
        <v xml:space="preserve">    485 : "moogle-caitsith",</v>
      </c>
      <c r="F483">
        <f t="shared" si="39"/>
        <v>485</v>
      </c>
      <c r="G483">
        <f t="shared" si="37"/>
        <v>484</v>
      </c>
      <c r="H483" t="s">
        <v>1355</v>
      </c>
      <c r="I483" t="str">
        <f t="shared" si="40"/>
        <v xml:space="preserve">    484 : "rosa-p",</v>
      </c>
    </row>
    <row r="484" spans="3:9">
      <c r="C484">
        <f t="shared" si="41"/>
        <v>486</v>
      </c>
      <c r="D484" t="s">
        <v>726</v>
      </c>
      <c r="E484" t="str">
        <f t="shared" si="38"/>
        <v xml:space="preserve">    486 : "moogle-geohat",</v>
      </c>
      <c r="F484">
        <f t="shared" si="39"/>
        <v>486</v>
      </c>
      <c r="G484">
        <f t="shared" si="37"/>
        <v>485</v>
      </c>
      <c r="H484" t="s">
        <v>1356</v>
      </c>
      <c r="I484" t="str">
        <f t="shared" si="40"/>
        <v xml:space="preserve">    485 : "rubicante-p",</v>
      </c>
    </row>
    <row r="485" spans="3:9">
      <c r="C485">
        <f t="shared" si="41"/>
        <v>487</v>
      </c>
      <c r="D485" t="s">
        <v>727</v>
      </c>
      <c r="E485" t="str">
        <f t="shared" si="38"/>
        <v xml:space="preserve">    487 : "moogle-pj",</v>
      </c>
      <c r="F485">
        <f t="shared" si="39"/>
        <v>487</v>
      </c>
      <c r="G485">
        <f t="shared" si="37"/>
        <v>486</v>
      </c>
      <c r="H485" t="s">
        <v>1357</v>
      </c>
      <c r="I485" t="str">
        <f t="shared" si="40"/>
        <v xml:space="preserve">    486 : "rude-p",</v>
      </c>
    </row>
    <row r="486" spans="3:9">
      <c r="C486">
        <f t="shared" si="41"/>
        <v>488</v>
      </c>
      <c r="D486" t="s">
        <v>728</v>
      </c>
      <c r="E486" t="str">
        <f t="shared" si="38"/>
        <v xml:space="preserve">    488 : "moogle-tonberry",</v>
      </c>
      <c r="F486">
        <f t="shared" si="39"/>
        <v>488</v>
      </c>
      <c r="G486">
        <f t="shared" si="37"/>
        <v>487</v>
      </c>
      <c r="H486" t="s">
        <v>1358</v>
      </c>
      <c r="I486" t="str">
        <f t="shared" si="40"/>
        <v xml:space="preserve">    487 : "rufus-p",</v>
      </c>
    </row>
    <row r="487" spans="3:9">
      <c r="C487">
        <f t="shared" si="41"/>
        <v>489</v>
      </c>
      <c r="D487" t="s">
        <v>729</v>
      </c>
      <c r="E487" t="str">
        <f t="shared" si="38"/>
        <v xml:space="preserve">    489 : "mrsaturn",</v>
      </c>
      <c r="F487">
        <f t="shared" si="39"/>
        <v>489</v>
      </c>
      <c r="G487">
        <f t="shared" si="37"/>
        <v>488</v>
      </c>
      <c r="H487" t="s">
        <v>1359</v>
      </c>
      <c r="I487" t="str">
        <f t="shared" si="40"/>
        <v xml:space="preserve">    488 : "rumia-p",</v>
      </c>
    </row>
    <row r="488" spans="3:9">
      <c r="C488">
        <f t="shared" si="41"/>
        <v>490</v>
      </c>
      <c r="D488" t="s">
        <v>730</v>
      </c>
      <c r="E488" t="str">
        <f t="shared" si="38"/>
        <v xml:space="preserve">    490 : "mustadio",</v>
      </c>
      <c r="F488">
        <f t="shared" si="39"/>
        <v>490</v>
      </c>
      <c r="G488">
        <f t="shared" si="37"/>
        <v>489</v>
      </c>
      <c r="H488" t="s">
        <v>1360</v>
      </c>
      <c r="I488" t="str">
        <f t="shared" si="40"/>
        <v xml:space="preserve">    489 : "rydia-child-p",</v>
      </c>
    </row>
    <row r="489" spans="3:9">
      <c r="C489">
        <f t="shared" si="41"/>
        <v>491</v>
      </c>
      <c r="D489" t="s">
        <v>731</v>
      </c>
      <c r="E489" t="str">
        <f t="shared" si="38"/>
        <v xml:space="preserve">    491 : "myers",</v>
      </c>
      <c r="F489">
        <f t="shared" si="39"/>
        <v>491</v>
      </c>
      <c r="G489">
        <f t="shared" si="37"/>
        <v>490</v>
      </c>
      <c r="H489" t="s">
        <v>1361</v>
      </c>
      <c r="I489" t="str">
        <f t="shared" si="40"/>
        <v xml:space="preserve">    490 : "rydia-p",</v>
      </c>
    </row>
    <row r="490" spans="3:9">
      <c r="C490">
        <f t="shared" si="41"/>
        <v>492</v>
      </c>
      <c r="D490" t="s">
        <v>732</v>
      </c>
      <c r="E490" t="str">
        <f t="shared" si="38"/>
        <v xml:space="preserve">    492 : "mysticknight",</v>
      </c>
      <c r="F490">
        <f t="shared" si="39"/>
        <v>492</v>
      </c>
      <c r="G490">
        <f t="shared" si="37"/>
        <v>491</v>
      </c>
      <c r="H490" t="s">
        <v>1362</v>
      </c>
      <c r="I490" t="str">
        <f t="shared" si="40"/>
        <v xml:space="preserve">    491 : "ryubof-p",</v>
      </c>
    </row>
    <row r="491" spans="3:9">
      <c r="C491">
        <f t="shared" si="41"/>
        <v>493</v>
      </c>
      <c r="D491" t="s">
        <v>733</v>
      </c>
      <c r="E491" t="str">
        <f t="shared" si="38"/>
        <v xml:space="preserve">    493 : "nabaat",</v>
      </c>
      <c r="F491">
        <f t="shared" si="39"/>
        <v>493</v>
      </c>
      <c r="G491">
        <f t="shared" si="37"/>
        <v>492</v>
      </c>
      <c r="H491" t="s">
        <v>1363</v>
      </c>
      <c r="I491" t="str">
        <f t="shared" si="40"/>
        <v xml:space="preserve">    492 : "ryusf-p",</v>
      </c>
    </row>
    <row r="492" spans="3:9">
      <c r="C492">
        <f t="shared" si="41"/>
        <v>494</v>
      </c>
      <c r="D492" t="s">
        <v>734</v>
      </c>
      <c r="E492" t="str">
        <f t="shared" si="38"/>
        <v xml:space="preserve">    494 : "nakoruru",</v>
      </c>
      <c r="F492">
        <f t="shared" si="39"/>
        <v>494</v>
      </c>
      <c r="G492">
        <f t="shared" si="37"/>
        <v>493</v>
      </c>
      <c r="H492" t="s">
        <v>1364</v>
      </c>
      <c r="I492" t="str">
        <f t="shared" si="40"/>
        <v xml:space="preserve">    493 : "sabin-edgar-p",</v>
      </c>
    </row>
    <row r="493" spans="3:9">
      <c r="C493">
        <f t="shared" si="41"/>
        <v>495</v>
      </c>
      <c r="D493" t="s">
        <v>735</v>
      </c>
      <c r="E493" t="str">
        <f t="shared" si="38"/>
        <v xml:space="preserve">    495 : "narsheguard",</v>
      </c>
      <c r="F493">
        <f t="shared" si="39"/>
        <v>495</v>
      </c>
      <c r="G493">
        <f t="shared" si="37"/>
        <v>494</v>
      </c>
      <c r="H493" t="s">
        <v>1365</v>
      </c>
      <c r="I493" t="str">
        <f t="shared" si="40"/>
        <v xml:space="preserve">    494 : "sabin-seifer-p",</v>
      </c>
    </row>
    <row r="494" spans="3:9">
      <c r="C494">
        <f t="shared" si="41"/>
        <v>496</v>
      </c>
      <c r="D494" t="s">
        <v>736</v>
      </c>
      <c r="E494" t="str">
        <f t="shared" si="38"/>
        <v xml:space="preserve">    496 : "neclord",</v>
      </c>
      <c r="F494">
        <f t="shared" si="39"/>
        <v>496</v>
      </c>
      <c r="G494">
        <f t="shared" si="37"/>
        <v>495</v>
      </c>
      <c r="H494" t="s">
        <v>1366</v>
      </c>
      <c r="I494" t="str">
        <f t="shared" si="40"/>
        <v xml:space="preserve">    495 : "sabin-t-p",</v>
      </c>
    </row>
    <row r="495" spans="3:9">
      <c r="C495">
        <f t="shared" si="41"/>
        <v>497</v>
      </c>
      <c r="D495" t="s">
        <v>737</v>
      </c>
      <c r="E495" t="str">
        <f t="shared" si="38"/>
        <v xml:space="preserve">    497 : "nepgear",</v>
      </c>
      <c r="F495">
        <f t="shared" si="39"/>
        <v>497</v>
      </c>
      <c r="G495">
        <f t="shared" si="37"/>
        <v>496</v>
      </c>
      <c r="H495" t="s">
        <v>1367</v>
      </c>
      <c r="I495" t="str">
        <f t="shared" si="40"/>
        <v xml:space="preserve">    496 : "sabin-wakka-p",</v>
      </c>
    </row>
    <row r="496" spans="3:9">
      <c r="C496">
        <f t="shared" si="41"/>
        <v>498</v>
      </c>
      <c r="D496" t="s">
        <v>738</v>
      </c>
      <c r="E496" t="str">
        <f t="shared" si="38"/>
        <v xml:space="preserve">    498 : "neptune-adult",</v>
      </c>
      <c r="F496">
        <f t="shared" si="39"/>
        <v>498</v>
      </c>
      <c r="G496">
        <f t="shared" si="37"/>
        <v>497</v>
      </c>
      <c r="H496" t="s">
        <v>1368</v>
      </c>
      <c r="I496" t="str">
        <f t="shared" si="40"/>
        <v xml:space="preserve">    497 : "sakuya-p",</v>
      </c>
    </row>
    <row r="497" spans="3:9">
      <c r="C497">
        <f t="shared" si="41"/>
        <v>499</v>
      </c>
      <c r="D497" t="s">
        <v>739</v>
      </c>
      <c r="E497" t="str">
        <f t="shared" si="38"/>
        <v xml:space="preserve">    499 : "neptune",</v>
      </c>
      <c r="F497">
        <f t="shared" si="39"/>
        <v>499</v>
      </c>
      <c r="G497">
        <f t="shared" si="37"/>
        <v>498</v>
      </c>
      <c r="H497" t="s">
        <v>1369</v>
      </c>
      <c r="I497" t="str">
        <f t="shared" si="40"/>
        <v xml:space="preserve">    498 : "samehada-p",</v>
      </c>
    </row>
    <row r="498" spans="3:9">
      <c r="C498">
        <f t="shared" si="41"/>
        <v>500</v>
      </c>
      <c r="D498" t="s">
        <v>740</v>
      </c>
      <c r="E498" t="str">
        <f t="shared" si="38"/>
        <v xml:space="preserve">    500 : "ness",</v>
      </c>
      <c r="F498">
        <f t="shared" si="39"/>
        <v>500</v>
      </c>
      <c r="G498">
        <f t="shared" ref="G498:G561" si="42">G497+1</f>
        <v>499</v>
      </c>
      <c r="H498" t="s">
        <v>1370</v>
      </c>
      <c r="I498" t="str">
        <f t="shared" si="40"/>
        <v xml:space="preserve">    499 : "samurai-p",</v>
      </c>
    </row>
    <row r="499" spans="3:9">
      <c r="C499">
        <f t="shared" si="41"/>
        <v>501</v>
      </c>
      <c r="D499" t="s">
        <v>741</v>
      </c>
      <c r="E499" t="str">
        <f t="shared" si="38"/>
        <v xml:space="preserve">    501 : "ninja-female",</v>
      </c>
      <c r="F499">
        <f t="shared" si="39"/>
        <v>501</v>
      </c>
      <c r="G499">
        <f t="shared" si="42"/>
        <v>500</v>
      </c>
      <c r="H499" t="s">
        <v>1371</v>
      </c>
      <c r="I499" t="str">
        <f t="shared" si="40"/>
        <v xml:space="preserve">    500 : "samus-p",</v>
      </c>
    </row>
    <row r="500" spans="3:9">
      <c r="C500">
        <f t="shared" si="41"/>
        <v>502</v>
      </c>
      <c r="D500" t="s">
        <v>742</v>
      </c>
      <c r="E500" t="str">
        <f t="shared" si="38"/>
        <v xml:space="preserve">    502 : "ninja",</v>
      </c>
      <c r="F500">
        <f t="shared" si="39"/>
        <v>502</v>
      </c>
      <c r="G500">
        <f t="shared" si="42"/>
        <v>501</v>
      </c>
      <c r="H500" t="s">
        <v>1372</v>
      </c>
      <c r="I500" t="str">
        <f t="shared" si="40"/>
        <v xml:space="preserve">    501 : "samus-zero-p",</v>
      </c>
    </row>
    <row r="501" spans="3:9">
      <c r="C501">
        <f t="shared" si="41"/>
        <v>503</v>
      </c>
      <c r="D501" t="s">
        <v>743</v>
      </c>
      <c r="E501" t="str">
        <f t="shared" si="38"/>
        <v xml:space="preserve">    503 : "noctis",</v>
      </c>
      <c r="F501">
        <f t="shared" si="39"/>
        <v>503</v>
      </c>
      <c r="G501">
        <f t="shared" si="42"/>
        <v>502</v>
      </c>
      <c r="H501" t="s">
        <v>1373</v>
      </c>
      <c r="I501" t="str">
        <f t="shared" si="40"/>
        <v xml:space="preserve">    502 : "sanae-p",</v>
      </c>
    </row>
    <row r="502" spans="3:9">
      <c r="C502">
        <f t="shared" si="41"/>
        <v>504</v>
      </c>
      <c r="D502" t="s">
        <v>744</v>
      </c>
      <c r="E502" t="str">
        <f t="shared" si="38"/>
        <v xml:space="preserve">    504 : "noire",</v>
      </c>
      <c r="F502">
        <f t="shared" si="39"/>
        <v>504</v>
      </c>
      <c r="G502">
        <f t="shared" si="42"/>
        <v>503</v>
      </c>
      <c r="H502" t="s">
        <v>1374</v>
      </c>
      <c r="I502" t="str">
        <f t="shared" si="40"/>
        <v xml:space="preserve">    503 : "sans-p",</v>
      </c>
    </row>
    <row r="503" spans="3:9">
      <c r="C503">
        <f t="shared" si="41"/>
        <v>505</v>
      </c>
      <c r="D503" t="s">
        <v>745</v>
      </c>
      <c r="E503" t="str">
        <f t="shared" si="38"/>
        <v xml:space="preserve">    505 : "nora",</v>
      </c>
      <c r="F503">
        <f t="shared" si="39"/>
        <v>505</v>
      </c>
      <c r="G503">
        <f t="shared" si="42"/>
        <v>504</v>
      </c>
      <c r="H503" t="s">
        <v>1375</v>
      </c>
      <c r="I503" t="str">
        <f t="shared" si="40"/>
        <v xml:space="preserve">    504 : "sarah-p",</v>
      </c>
    </row>
    <row r="504" spans="3:9">
      <c r="C504">
        <f t="shared" si="41"/>
        <v>506</v>
      </c>
      <c r="D504" t="s">
        <v>746</v>
      </c>
      <c r="E504" t="str">
        <f t="shared" si="38"/>
        <v xml:space="preserve">    506 : "nun",</v>
      </c>
      <c r="F504">
        <f t="shared" si="39"/>
        <v>506</v>
      </c>
      <c r="G504">
        <f t="shared" si="42"/>
        <v>505</v>
      </c>
      <c r="H504" t="s">
        <v>1376</v>
      </c>
      <c r="I504" t="str">
        <f t="shared" si="40"/>
        <v xml:space="preserve">    505 : "sarisa-p",</v>
      </c>
    </row>
    <row r="505" spans="3:9">
      <c r="C505">
        <f t="shared" si="41"/>
        <v>507</v>
      </c>
      <c r="D505" t="s">
        <v>747</v>
      </c>
      <c r="E505" t="str">
        <f t="shared" si="38"/>
        <v xml:space="preserve">    507 : "oddish",</v>
      </c>
      <c r="F505">
        <f t="shared" si="39"/>
        <v>507</v>
      </c>
      <c r="G505">
        <f t="shared" si="42"/>
        <v>506</v>
      </c>
      <c r="H505" t="s">
        <v>1377</v>
      </c>
      <c r="I505" t="str">
        <f t="shared" si="40"/>
        <v xml:space="preserve">    506 : "sasori-p",</v>
      </c>
    </row>
    <row r="506" spans="3:9">
      <c r="C506">
        <f t="shared" si="41"/>
        <v>508</v>
      </c>
      <c r="D506" t="s">
        <v>748</v>
      </c>
      <c r="E506" t="str">
        <f t="shared" si="38"/>
        <v xml:space="preserve">    508 : "officer-female",</v>
      </c>
      <c r="F506">
        <f t="shared" si="39"/>
        <v>508</v>
      </c>
      <c r="G506">
        <f t="shared" si="42"/>
        <v>507</v>
      </c>
      <c r="H506" t="s">
        <v>1378</v>
      </c>
      <c r="I506" t="str">
        <f t="shared" si="40"/>
        <v xml:space="preserve">    507 : "sazh-p",</v>
      </c>
    </row>
    <row r="507" spans="3:9">
      <c r="C507">
        <f t="shared" si="41"/>
        <v>509</v>
      </c>
      <c r="D507" t="s">
        <v>749</v>
      </c>
      <c r="E507" t="str">
        <f t="shared" si="38"/>
        <v xml:space="preserve">    509 : "ogbanon",</v>
      </c>
      <c r="F507">
        <f t="shared" si="39"/>
        <v>509</v>
      </c>
      <c r="G507">
        <f t="shared" si="42"/>
        <v>508</v>
      </c>
      <c r="H507" t="s">
        <v>1379</v>
      </c>
      <c r="I507" t="str">
        <f t="shared" si="40"/>
        <v xml:space="preserve">    508 : "scarmiglione-p",</v>
      </c>
    </row>
    <row r="508" spans="3:9">
      <c r="C508">
        <f t="shared" si="41"/>
        <v>510</v>
      </c>
      <c r="D508" t="s">
        <v>750</v>
      </c>
      <c r="E508" t="str">
        <f t="shared" si="38"/>
        <v xml:space="preserve">    510 : "ogceles",</v>
      </c>
      <c r="F508">
        <f t="shared" si="39"/>
        <v>510</v>
      </c>
      <c r="G508">
        <f t="shared" si="42"/>
        <v>509</v>
      </c>
      <c r="H508" t="s">
        <v>1380</v>
      </c>
      <c r="I508" t="str">
        <f t="shared" si="40"/>
        <v xml:space="preserve">    509 : "schala-p",</v>
      </c>
    </row>
    <row r="509" spans="3:9">
      <c r="C509">
        <f t="shared" si="41"/>
        <v>511</v>
      </c>
      <c r="D509" t="s">
        <v>751</v>
      </c>
      <c r="E509" t="str">
        <f t="shared" si="38"/>
        <v xml:space="preserve">    511 : "ogcyan",</v>
      </c>
      <c r="F509">
        <f t="shared" si="39"/>
        <v>511</v>
      </c>
      <c r="G509">
        <f t="shared" si="42"/>
        <v>510</v>
      </c>
      <c r="H509" t="s">
        <v>1381</v>
      </c>
      <c r="I509" t="str">
        <f t="shared" si="40"/>
        <v xml:space="preserve">    510 : "scholar-p",</v>
      </c>
    </row>
    <row r="510" spans="3:9">
      <c r="C510">
        <f t="shared" si="41"/>
        <v>512</v>
      </c>
      <c r="D510" t="s">
        <v>752</v>
      </c>
      <c r="E510" t="str">
        <f t="shared" si="38"/>
        <v xml:space="preserve">    512 : "ogedgar",</v>
      </c>
      <c r="F510">
        <f t="shared" si="39"/>
        <v>512</v>
      </c>
      <c r="G510">
        <f t="shared" si="42"/>
        <v>511</v>
      </c>
      <c r="H510" t="s">
        <v>1382</v>
      </c>
      <c r="I510" t="str">
        <f t="shared" si="40"/>
        <v xml:space="preserve">    511 : "scorpion-p",</v>
      </c>
    </row>
    <row r="511" spans="3:9">
      <c r="C511">
        <f t="shared" si="41"/>
        <v>513</v>
      </c>
      <c r="D511" t="s">
        <v>753</v>
      </c>
      <c r="E511" t="str">
        <f t="shared" si="38"/>
        <v xml:space="preserve">    513 : "ogesperterra",</v>
      </c>
      <c r="F511">
        <f t="shared" si="39"/>
        <v>513</v>
      </c>
      <c r="G511">
        <f t="shared" si="42"/>
        <v>512</v>
      </c>
      <c r="H511" t="s">
        <v>1383</v>
      </c>
      <c r="I511" t="str">
        <f t="shared" si="40"/>
        <v xml:space="preserve">    512 : "scott-p",</v>
      </c>
    </row>
    <row r="512" spans="3:9">
      <c r="C512">
        <f t="shared" si="41"/>
        <v>514</v>
      </c>
      <c r="D512" t="s">
        <v>754</v>
      </c>
      <c r="E512" t="str">
        <f t="shared" si="38"/>
        <v xml:space="preserve">    514 : "oggau",</v>
      </c>
      <c r="F512">
        <f t="shared" si="39"/>
        <v>514</v>
      </c>
      <c r="G512">
        <f t="shared" si="42"/>
        <v>513</v>
      </c>
      <c r="H512" t="s">
        <v>1384</v>
      </c>
      <c r="I512" t="str">
        <f t="shared" si="40"/>
        <v xml:space="preserve">    513 : "seeq-p",</v>
      </c>
    </row>
    <row r="513" spans="3:9">
      <c r="C513">
        <f t="shared" si="41"/>
        <v>515</v>
      </c>
      <c r="D513" t="s">
        <v>755</v>
      </c>
      <c r="E513" t="str">
        <f t="shared" si="38"/>
        <v xml:space="preserve">    515 : "ogghost",</v>
      </c>
      <c r="F513">
        <f t="shared" si="39"/>
        <v>515</v>
      </c>
      <c r="G513">
        <f t="shared" si="42"/>
        <v>514</v>
      </c>
      <c r="H513" t="s">
        <v>1385</v>
      </c>
      <c r="I513" t="str">
        <f t="shared" si="40"/>
        <v xml:space="preserve">    514 : "seifer-p",</v>
      </c>
    </row>
    <row r="514" spans="3:9">
      <c r="C514">
        <f t="shared" si="41"/>
        <v>516</v>
      </c>
      <c r="D514" t="s">
        <v>756</v>
      </c>
      <c r="E514" t="str">
        <f t="shared" si="38"/>
        <v xml:space="preserve">    516 : "oggogo",</v>
      </c>
      <c r="F514">
        <f t="shared" si="39"/>
        <v>516</v>
      </c>
      <c r="G514">
        <f t="shared" si="42"/>
        <v>515</v>
      </c>
      <c r="H514" t="s">
        <v>1386</v>
      </c>
      <c r="I514" t="str">
        <f t="shared" si="40"/>
        <v xml:space="preserve">    515 : "selphie-p",</v>
      </c>
    </row>
    <row r="515" spans="3:9">
      <c r="C515">
        <f t="shared" si="41"/>
        <v>517</v>
      </c>
      <c r="D515" t="s">
        <v>757</v>
      </c>
      <c r="E515" t="str">
        <f t="shared" si="38"/>
        <v xml:space="preserve">    517 : "ogimp",</v>
      </c>
      <c r="F515">
        <f t="shared" si="39"/>
        <v>517</v>
      </c>
      <c r="G515">
        <f t="shared" si="42"/>
        <v>516</v>
      </c>
      <c r="H515" t="s">
        <v>1387</v>
      </c>
      <c r="I515" t="str">
        <f t="shared" si="40"/>
        <v xml:space="preserve">    516 : "sephiroth-p",</v>
      </c>
    </row>
    <row r="516" spans="3:9">
      <c r="C516">
        <f t="shared" si="41"/>
        <v>518</v>
      </c>
      <c r="D516" t="s">
        <v>758</v>
      </c>
      <c r="E516" t="str">
        <f t="shared" si="38"/>
        <v xml:space="preserve">    518 : "ogkefka",</v>
      </c>
      <c r="F516">
        <f t="shared" si="39"/>
        <v>518</v>
      </c>
      <c r="G516">
        <f t="shared" si="42"/>
        <v>517</v>
      </c>
      <c r="H516" t="s">
        <v>1388</v>
      </c>
      <c r="I516" t="str">
        <f t="shared" si="40"/>
        <v xml:space="preserve">    517 : "serafie-p",</v>
      </c>
    </row>
    <row r="517" spans="3:9">
      <c r="C517">
        <f t="shared" si="41"/>
        <v>519</v>
      </c>
      <c r="D517" t="s">
        <v>759</v>
      </c>
      <c r="E517" t="str">
        <f t="shared" si="38"/>
        <v xml:space="preserve">    519 : "ogleo",</v>
      </c>
      <c r="F517">
        <f t="shared" si="39"/>
        <v>519</v>
      </c>
      <c r="G517">
        <f t="shared" si="42"/>
        <v>518</v>
      </c>
      <c r="H517" t="s">
        <v>1389</v>
      </c>
      <c r="I517" t="str">
        <f t="shared" si="40"/>
        <v xml:space="preserve">    518 : "serah-p",</v>
      </c>
    </row>
    <row r="518" spans="3:9">
      <c r="C518">
        <f t="shared" si="41"/>
        <v>520</v>
      </c>
      <c r="D518" t="s">
        <v>760</v>
      </c>
      <c r="E518" t="str">
        <f t="shared" si="38"/>
        <v xml:space="preserve">    520 : "oglocke",</v>
      </c>
      <c r="F518">
        <f t="shared" si="39"/>
        <v>520</v>
      </c>
      <c r="G518">
        <f t="shared" si="42"/>
        <v>519</v>
      </c>
      <c r="H518" t="s">
        <v>1390</v>
      </c>
      <c r="I518" t="str">
        <f t="shared" si="40"/>
        <v xml:space="preserve">    519 : "seymour-p",</v>
      </c>
    </row>
    <row r="519" spans="3:9">
      <c r="C519">
        <f t="shared" si="41"/>
        <v>521</v>
      </c>
      <c r="D519" t="s">
        <v>761</v>
      </c>
      <c r="E519" t="str">
        <f t="shared" si="38"/>
        <v xml:space="preserve">    521 : "oglop-cid",</v>
      </c>
      <c r="F519">
        <f t="shared" si="39"/>
        <v>521</v>
      </c>
      <c r="G519">
        <f t="shared" si="42"/>
        <v>520</v>
      </c>
      <c r="H519" t="s">
        <v>1391</v>
      </c>
      <c r="I519" t="str">
        <f t="shared" si="40"/>
        <v xml:space="preserve">    520 : "shadowsmith-p",</v>
      </c>
    </row>
    <row r="520" spans="3:9">
      <c r="C520">
        <f t="shared" si="41"/>
        <v>522</v>
      </c>
      <c r="D520" t="s">
        <v>762</v>
      </c>
      <c r="E520" t="str">
        <f t="shared" ref="E520:E583" si="43">"    "&amp;C520&amp;" : """&amp;D520&amp;""","</f>
        <v xml:space="preserve">    522 : "ogmerchant",</v>
      </c>
      <c r="F520">
        <f t="shared" si="39"/>
        <v>522</v>
      </c>
      <c r="G520">
        <f t="shared" si="42"/>
        <v>521</v>
      </c>
      <c r="H520" t="s">
        <v>1392</v>
      </c>
      <c r="I520" t="str">
        <f t="shared" si="40"/>
        <v xml:space="preserve">    521 : "shantotto-p",</v>
      </c>
    </row>
    <row r="521" spans="3:9">
      <c r="C521">
        <f t="shared" si="41"/>
        <v>523</v>
      </c>
      <c r="D521" t="s">
        <v>763</v>
      </c>
      <c r="E521" t="str">
        <f t="shared" si="43"/>
        <v xml:space="preserve">    523 : "ogmog",</v>
      </c>
      <c r="F521">
        <f t="shared" si="39"/>
        <v>523</v>
      </c>
      <c r="G521">
        <f t="shared" si="42"/>
        <v>522</v>
      </c>
      <c r="H521" t="s">
        <v>1393</v>
      </c>
      <c r="I521" t="str">
        <f t="shared" si="40"/>
        <v xml:space="preserve">    522 : "sherlotta-p",</v>
      </c>
    </row>
    <row r="522" spans="3:9">
      <c r="C522">
        <f t="shared" si="41"/>
        <v>524</v>
      </c>
      <c r="D522" t="s">
        <v>764</v>
      </c>
      <c r="E522" t="str">
        <f t="shared" si="43"/>
        <v xml:space="preserve">    524 : "ogrelm",</v>
      </c>
      <c r="F522">
        <f t="shared" si="39"/>
        <v>524</v>
      </c>
      <c r="G522">
        <f t="shared" si="42"/>
        <v>523</v>
      </c>
      <c r="H522" t="s">
        <v>1394</v>
      </c>
      <c r="I522" t="str">
        <f t="shared" si="40"/>
        <v xml:space="preserve">    523 : "shopkeeper-p",</v>
      </c>
    </row>
    <row r="523" spans="3:9">
      <c r="C523">
        <f t="shared" si="41"/>
        <v>525</v>
      </c>
      <c r="D523" t="s">
        <v>765</v>
      </c>
      <c r="E523" t="str">
        <f t="shared" si="43"/>
        <v xml:space="preserve">    525 : "ogsabin",</v>
      </c>
      <c r="F523">
        <f t="shared" si="39"/>
        <v>525</v>
      </c>
      <c r="G523">
        <f t="shared" si="42"/>
        <v>524</v>
      </c>
      <c r="H523" t="s">
        <v>1395</v>
      </c>
      <c r="I523" t="str">
        <f t="shared" si="40"/>
        <v xml:space="preserve">    524 : "siegfried-p",</v>
      </c>
    </row>
    <row r="524" spans="3:9">
      <c r="C524">
        <f t="shared" si="41"/>
        <v>526</v>
      </c>
      <c r="D524" t="s">
        <v>766</v>
      </c>
      <c r="E524" t="str">
        <f t="shared" si="43"/>
        <v xml:space="preserve">    526 : "ogsetzer",</v>
      </c>
      <c r="F524">
        <f t="shared" si="39"/>
        <v>526</v>
      </c>
      <c r="G524">
        <f t="shared" si="42"/>
        <v>525</v>
      </c>
      <c r="H524" t="s">
        <v>1396</v>
      </c>
      <c r="I524" t="str">
        <f t="shared" si="40"/>
        <v xml:space="preserve">    525 : "simon-p",</v>
      </c>
    </row>
    <row r="525" spans="3:9">
      <c r="C525">
        <f t="shared" si="41"/>
        <v>527</v>
      </c>
      <c r="D525" t="s">
        <v>767</v>
      </c>
      <c r="E525" t="str">
        <f t="shared" si="43"/>
        <v xml:space="preserve">    527 : "ogshadow",</v>
      </c>
      <c r="F525">
        <f t="shared" si="39"/>
        <v>527</v>
      </c>
      <c r="G525">
        <f t="shared" si="42"/>
        <v>526</v>
      </c>
      <c r="H525" t="s">
        <v>1397</v>
      </c>
      <c r="I525" t="str">
        <f t="shared" si="40"/>
        <v xml:space="preserve">    526 : "sion-p",</v>
      </c>
    </row>
    <row r="526" spans="3:9">
      <c r="C526">
        <f t="shared" si="41"/>
        <v>528</v>
      </c>
      <c r="D526" t="s">
        <v>768</v>
      </c>
      <c r="E526" t="str">
        <f t="shared" si="43"/>
        <v xml:space="preserve">    528 : "ogstrago",</v>
      </c>
      <c r="F526">
        <f t="shared" si="39"/>
        <v>528</v>
      </c>
      <c r="G526">
        <f t="shared" si="42"/>
        <v>527</v>
      </c>
      <c r="H526" t="s">
        <v>1398</v>
      </c>
      <c r="I526" t="str">
        <f t="shared" si="40"/>
        <v xml:space="preserve">    527 : "slash-p",</v>
      </c>
    </row>
    <row r="527" spans="3:9">
      <c r="C527">
        <f t="shared" si="41"/>
        <v>529</v>
      </c>
      <c r="D527" t="s">
        <v>769</v>
      </c>
      <c r="E527" t="str">
        <f t="shared" si="43"/>
        <v xml:space="preserve">    529 : "ogterra",</v>
      </c>
      <c r="F527">
        <f t="shared" si="39"/>
        <v>529</v>
      </c>
      <c r="G527">
        <f t="shared" si="42"/>
        <v>528</v>
      </c>
      <c r="H527" t="s">
        <v>1399</v>
      </c>
      <c r="I527" t="str">
        <f t="shared" si="40"/>
        <v xml:space="preserve">    528 : "slime-p",</v>
      </c>
    </row>
    <row r="528" spans="3:9">
      <c r="C528">
        <f t="shared" si="41"/>
        <v>530</v>
      </c>
      <c r="D528" t="s">
        <v>770</v>
      </c>
      <c r="E528" t="str">
        <f t="shared" si="43"/>
        <v xml:space="preserve">    530 : "ogtrooper",</v>
      </c>
      <c r="F528">
        <f t="shared" si="39"/>
        <v>530</v>
      </c>
      <c r="G528">
        <f t="shared" si="42"/>
        <v>529</v>
      </c>
      <c r="H528" t="s">
        <v>1400</v>
      </c>
      <c r="I528" t="str">
        <f t="shared" si="40"/>
        <v xml:space="preserve">    529 : "snow-p",</v>
      </c>
    </row>
    <row r="529" spans="3:9">
      <c r="C529">
        <f t="shared" si="41"/>
        <v>531</v>
      </c>
      <c r="D529" t="s">
        <v>771</v>
      </c>
      <c r="E529" t="str">
        <f t="shared" si="43"/>
        <v xml:space="preserve">    531 : "ogumaro",</v>
      </c>
      <c r="F529">
        <f t="shared" si="39"/>
        <v>531</v>
      </c>
      <c r="G529">
        <f t="shared" si="42"/>
        <v>530</v>
      </c>
      <c r="H529" t="s">
        <v>1401</v>
      </c>
      <c r="I529" t="str">
        <f t="shared" si="40"/>
        <v xml:space="preserve">    530 : "soeboy-p",</v>
      </c>
    </row>
    <row r="530" spans="3:9">
      <c r="C530">
        <f t="shared" si="41"/>
        <v>532</v>
      </c>
      <c r="D530" t="s">
        <v>772</v>
      </c>
      <c r="E530" t="str">
        <f t="shared" si="43"/>
        <v xml:space="preserve">    532 : "oldman",</v>
      </c>
      <c r="F530">
        <f t="shared" si="39"/>
        <v>532</v>
      </c>
      <c r="G530">
        <f t="shared" si="42"/>
        <v>531</v>
      </c>
      <c r="H530" t="s">
        <v>1402</v>
      </c>
      <c r="I530" t="str">
        <f t="shared" si="40"/>
        <v xml:space="preserve">    531 : "soepoodle-p",</v>
      </c>
    </row>
    <row r="531" spans="3:9">
      <c r="C531">
        <f t="shared" si="41"/>
        <v>533</v>
      </c>
      <c r="D531" t="s">
        <v>773</v>
      </c>
      <c r="E531" t="str">
        <f t="shared" si="43"/>
        <v xml:space="preserve">    533 : "omega",</v>
      </c>
      <c r="F531">
        <f t="shared" si="39"/>
        <v>533</v>
      </c>
      <c r="G531">
        <f t="shared" si="42"/>
        <v>532</v>
      </c>
      <c r="H531" t="s">
        <v>1403</v>
      </c>
      <c r="I531" t="str">
        <f t="shared" si="40"/>
        <v xml:space="preserve">    532 : "soewolfdog-p",</v>
      </c>
    </row>
    <row r="532" spans="3:9">
      <c r="C532">
        <f t="shared" si="41"/>
        <v>534</v>
      </c>
      <c r="D532" t="s">
        <v>774</v>
      </c>
      <c r="E532" t="str">
        <f t="shared" si="43"/>
        <v xml:space="preserve">    534 : "onionknight",</v>
      </c>
      <c r="F532">
        <f t="shared" si="39"/>
        <v>534</v>
      </c>
      <c r="G532">
        <f t="shared" si="42"/>
        <v>533</v>
      </c>
      <c r="H532" t="s">
        <v>1404</v>
      </c>
      <c r="I532" t="str">
        <f t="shared" si="40"/>
        <v xml:space="preserve">    533 : "soldier9-p",</v>
      </c>
    </row>
    <row r="533" spans="3:9">
      <c r="C533">
        <f t="shared" si="41"/>
        <v>535</v>
      </c>
      <c r="D533" t="s">
        <v>775</v>
      </c>
      <c r="E533" t="str">
        <f t="shared" si="43"/>
        <v xml:space="preserve">    535 : "opaopa",</v>
      </c>
      <c r="F533">
        <f t="shared" si="39"/>
        <v>535</v>
      </c>
      <c r="G533">
        <f t="shared" si="42"/>
        <v>534</v>
      </c>
      <c r="H533" t="s">
        <v>1405</v>
      </c>
      <c r="I533" t="str">
        <f t="shared" si="40"/>
        <v xml:space="preserve">    534 : "sonic-p",</v>
      </c>
    </row>
    <row r="534" spans="3:9">
      <c r="C534">
        <f t="shared" si="41"/>
        <v>536</v>
      </c>
      <c r="D534" t="s">
        <v>776</v>
      </c>
      <c r="E534" t="str">
        <f t="shared" si="43"/>
        <v xml:space="preserve">    536 : "orlandu",</v>
      </c>
      <c r="F534">
        <f t="shared" si="39"/>
        <v>536</v>
      </c>
      <c r="G534">
        <f t="shared" si="42"/>
        <v>535</v>
      </c>
      <c r="H534" t="s">
        <v>1406</v>
      </c>
      <c r="I534" t="str">
        <f t="shared" si="40"/>
        <v xml:space="preserve">    535 : "sora-p",</v>
      </c>
    </row>
    <row r="535" spans="3:9">
      <c r="C535">
        <f t="shared" si="41"/>
        <v>537</v>
      </c>
      <c r="D535" t="s">
        <v>777</v>
      </c>
      <c r="E535" t="str">
        <f t="shared" si="43"/>
        <v xml:space="preserve">    537 : "orochimaru",</v>
      </c>
      <c r="F535">
        <f t="shared" si="39"/>
        <v>537</v>
      </c>
      <c r="G535">
        <f t="shared" si="42"/>
        <v>536</v>
      </c>
      <c r="H535" t="s">
        <v>1407</v>
      </c>
      <c r="I535" t="str">
        <f t="shared" si="40"/>
        <v xml:space="preserve">    536 : "spawn-p",</v>
      </c>
    </row>
    <row r="536" spans="3:9">
      <c r="C536">
        <f t="shared" si="41"/>
        <v>538</v>
      </c>
      <c r="D536" t="s">
        <v>778</v>
      </c>
      <c r="E536" t="str">
        <f t="shared" si="43"/>
        <v xml:space="preserve">    538 : "ovelia",</v>
      </c>
      <c r="F536">
        <f t="shared" si="39"/>
        <v>538</v>
      </c>
      <c r="G536">
        <f t="shared" si="42"/>
        <v>537</v>
      </c>
      <c r="H536" t="s">
        <v>1408</v>
      </c>
      <c r="I536" t="str">
        <f t="shared" si="40"/>
        <v xml:space="preserve">    537 : "spiderman-p",</v>
      </c>
    </row>
    <row r="537" spans="3:9">
      <c r="C537">
        <f t="shared" si="41"/>
        <v>539</v>
      </c>
      <c r="D537" t="s">
        <v>779</v>
      </c>
      <c r="E537" t="str">
        <f t="shared" si="43"/>
        <v xml:space="preserve">    539 : "palom-tay",</v>
      </c>
      <c r="F537">
        <f t="shared" si="39"/>
        <v>539</v>
      </c>
      <c r="G537">
        <f t="shared" si="42"/>
        <v>538</v>
      </c>
      <c r="H537" t="s">
        <v>1409</v>
      </c>
      <c r="I537" t="str">
        <f t="shared" si="40"/>
        <v xml:space="preserve">    538 : "squall-p",</v>
      </c>
    </row>
    <row r="538" spans="3:9">
      <c r="C538">
        <f t="shared" si="41"/>
        <v>540</v>
      </c>
      <c r="D538" t="s">
        <v>780</v>
      </c>
      <c r="E538" t="str">
        <f t="shared" si="43"/>
        <v xml:space="preserve">    540 : "palom",</v>
      </c>
      <c r="F538">
        <f t="shared" si="39"/>
        <v>540</v>
      </c>
      <c r="G538">
        <f t="shared" si="42"/>
        <v>539</v>
      </c>
      <c r="H538" t="s">
        <v>1410</v>
      </c>
      <c r="I538" t="str">
        <f t="shared" si="40"/>
        <v xml:space="preserve">    539 : "squall-uniform-p",</v>
      </c>
    </row>
    <row r="539" spans="3:9">
      <c r="C539">
        <f t="shared" si="41"/>
        <v>541</v>
      </c>
      <c r="D539" t="s">
        <v>781</v>
      </c>
      <c r="E539" t="str">
        <f t="shared" si="43"/>
        <v xml:space="preserve">    541 : "panda",</v>
      </c>
      <c r="F539">
        <f t="shared" si="39"/>
        <v>541</v>
      </c>
      <c r="G539">
        <f t="shared" si="42"/>
        <v>540</v>
      </c>
      <c r="H539" t="s">
        <v>1411</v>
      </c>
      <c r="I539" t="str">
        <f t="shared" si="40"/>
        <v xml:space="preserve">    540 : "squire-p",</v>
      </c>
    </row>
    <row r="540" spans="3:9">
      <c r="C540">
        <f t="shared" si="41"/>
        <v>542</v>
      </c>
      <c r="D540" t="s">
        <v>782</v>
      </c>
      <c r="E540" t="str">
        <f t="shared" si="43"/>
        <v xml:space="preserve">    542 : "papyrus",</v>
      </c>
      <c r="F540">
        <f t="shared" si="39"/>
        <v>542</v>
      </c>
      <c r="G540">
        <f t="shared" si="42"/>
        <v>541</v>
      </c>
      <c r="H540" t="s">
        <v>1412</v>
      </c>
      <c r="I540" t="str">
        <f t="shared" si="40"/>
        <v xml:space="preserve">    541 : "stalfos-p",</v>
      </c>
    </row>
    <row r="541" spans="3:9">
      <c r="C541">
        <f t="shared" si="41"/>
        <v>543</v>
      </c>
      <c r="D541" t="s">
        <v>783</v>
      </c>
      <c r="E541" t="str">
        <f t="shared" si="43"/>
        <v xml:space="preserve">    543 : "paul",</v>
      </c>
      <c r="F541">
        <f t="shared" si="39"/>
        <v>543</v>
      </c>
      <c r="G541">
        <f t="shared" si="42"/>
        <v>542</v>
      </c>
      <c r="H541" t="s">
        <v>1413</v>
      </c>
      <c r="I541" t="str">
        <f t="shared" si="40"/>
        <v xml:space="preserve">    542 : "starfox-p",</v>
      </c>
    </row>
    <row r="542" spans="3:9">
      <c r="C542">
        <f t="shared" si="41"/>
        <v>544</v>
      </c>
      <c r="D542" t="s">
        <v>784</v>
      </c>
      <c r="E542" t="str">
        <f t="shared" si="43"/>
        <v xml:space="preserve">    544 : "peach",</v>
      </c>
      <c r="F542">
        <f t="shared" si="39"/>
        <v>544</v>
      </c>
      <c r="G542">
        <f t="shared" si="42"/>
        <v>543</v>
      </c>
      <c r="H542" t="s">
        <v>1414</v>
      </c>
      <c r="I542" t="str">
        <f t="shared" si="40"/>
        <v xml:space="preserve">    543 : "starwolf-p",</v>
      </c>
    </row>
    <row r="543" spans="3:9">
      <c r="C543">
        <f t="shared" si="41"/>
        <v>545</v>
      </c>
      <c r="D543" t="s">
        <v>785</v>
      </c>
      <c r="E543" t="str">
        <f t="shared" si="43"/>
        <v xml:space="preserve">    545 : "pecil",</v>
      </c>
      <c r="F543">
        <f t="shared" si="39"/>
        <v>545</v>
      </c>
      <c r="G543">
        <f t="shared" si="42"/>
        <v>544</v>
      </c>
      <c r="H543" t="s">
        <v>1415</v>
      </c>
      <c r="I543" t="str">
        <f t="shared" si="40"/>
        <v xml:space="preserve">    544 : "steiner-p",</v>
      </c>
    </row>
    <row r="544" spans="3:9">
      <c r="C544">
        <f t="shared" si="41"/>
        <v>546</v>
      </c>
      <c r="D544" t="s">
        <v>786</v>
      </c>
      <c r="E544" t="str">
        <f t="shared" si="43"/>
        <v xml:space="preserve">    546 : "penelo",</v>
      </c>
      <c r="F544">
        <f t="shared" ref="F544:F607" si="44">C544</f>
        <v>546</v>
      </c>
      <c r="G544">
        <f t="shared" si="42"/>
        <v>545</v>
      </c>
      <c r="H544" t="s">
        <v>1416</v>
      </c>
      <c r="I544" t="str">
        <f t="shared" ref="I544:I607" si="45">"    "&amp;G544&amp;" : """&amp;H544&amp;""","</f>
        <v xml:space="preserve">    545 : "stiltzkin-p",</v>
      </c>
    </row>
    <row r="545" spans="3:9">
      <c r="C545">
        <f t="shared" ref="C545:C608" si="46">C544+1</f>
        <v>547</v>
      </c>
      <c r="D545" t="s">
        <v>787</v>
      </c>
      <c r="E545" t="str">
        <f t="shared" si="43"/>
        <v xml:space="preserve">    547 : "pepsiman",</v>
      </c>
      <c r="F545">
        <f t="shared" si="44"/>
        <v>547</v>
      </c>
      <c r="G545">
        <f t="shared" si="42"/>
        <v>546</v>
      </c>
      <c r="H545" t="s">
        <v>1417</v>
      </c>
      <c r="I545" t="str">
        <f t="shared" si="45"/>
        <v xml:space="preserve">    546 : "strago-blackmage-p",</v>
      </c>
    </row>
    <row r="546" spans="3:9">
      <c r="C546">
        <f t="shared" si="46"/>
        <v>548</v>
      </c>
      <c r="D546" t="s">
        <v>788</v>
      </c>
      <c r="E546" t="str">
        <f t="shared" si="43"/>
        <v xml:space="preserve">    548 : "pig",</v>
      </c>
      <c r="F546">
        <f t="shared" si="44"/>
        <v>548</v>
      </c>
      <c r="G546">
        <f t="shared" si="42"/>
        <v>547</v>
      </c>
      <c r="H546" t="s">
        <v>1418</v>
      </c>
      <c r="I546" t="str">
        <f t="shared" si="45"/>
        <v xml:space="preserve">    547 : "strago-cid-p",</v>
      </c>
    </row>
    <row r="547" spans="3:9">
      <c r="C547">
        <f t="shared" si="46"/>
        <v>549</v>
      </c>
      <c r="D547" t="s">
        <v>789</v>
      </c>
      <c r="E547" t="str">
        <f t="shared" si="43"/>
        <v xml:space="preserve">    549 : "pikachu-retro",</v>
      </c>
      <c r="F547">
        <f t="shared" si="44"/>
        <v>549</v>
      </c>
      <c r="G547">
        <f t="shared" si="42"/>
        <v>548</v>
      </c>
      <c r="H547" t="s">
        <v>1419</v>
      </c>
      <c r="I547" t="str">
        <f t="shared" si="45"/>
        <v xml:space="preserve">    548 : "strago-fusoya-p",</v>
      </c>
    </row>
    <row r="548" spans="3:9">
      <c r="C548">
        <f t="shared" si="46"/>
        <v>550</v>
      </c>
      <c r="D548" t="s">
        <v>790</v>
      </c>
      <c r="E548" t="str">
        <f t="shared" si="43"/>
        <v xml:space="preserve">    550 : "piranhaplant",</v>
      </c>
      <c r="F548">
        <f t="shared" si="44"/>
        <v>550</v>
      </c>
      <c r="G548">
        <f t="shared" si="42"/>
        <v>549</v>
      </c>
      <c r="H548" t="s">
        <v>1420</v>
      </c>
      <c r="I548" t="str">
        <f t="shared" si="45"/>
        <v xml:space="preserve">    549 : "strago-tellah-p",</v>
      </c>
    </row>
    <row r="549" spans="3:9">
      <c r="C549">
        <f t="shared" si="46"/>
        <v>551</v>
      </c>
      <c r="D549" t="s">
        <v>791</v>
      </c>
      <c r="E549" t="str">
        <f t="shared" si="43"/>
        <v xml:space="preserve">    551 : "pm-ghost",</v>
      </c>
      <c r="F549">
        <f t="shared" si="44"/>
        <v>551</v>
      </c>
      <c r="G549">
        <f t="shared" si="42"/>
        <v>550</v>
      </c>
      <c r="H549" t="s">
        <v>1421</v>
      </c>
      <c r="I549" t="str">
        <f t="shared" si="45"/>
        <v xml:space="preserve">    550 : "superbuu-p",</v>
      </c>
    </row>
    <row r="550" spans="3:9">
      <c r="C550">
        <f t="shared" si="46"/>
        <v>552</v>
      </c>
      <c r="D550" t="s">
        <v>792</v>
      </c>
      <c r="E550" t="str">
        <f t="shared" si="43"/>
        <v xml:space="preserve">    552 : "pooka",</v>
      </c>
      <c r="F550">
        <f t="shared" si="44"/>
        <v>552</v>
      </c>
      <c r="G550">
        <f t="shared" si="42"/>
        <v>551</v>
      </c>
      <c r="H550" t="s">
        <v>1422</v>
      </c>
      <c r="I550" t="str">
        <f t="shared" si="45"/>
        <v xml:space="preserve">    551 : "t260g-p",</v>
      </c>
    </row>
    <row r="551" spans="3:9">
      <c r="C551">
        <f t="shared" si="46"/>
        <v>553</v>
      </c>
      <c r="D551" t="s">
        <v>793</v>
      </c>
      <c r="E551" t="str">
        <f t="shared" si="43"/>
        <v xml:space="preserve">    553 : "popo",</v>
      </c>
      <c r="F551">
        <f t="shared" si="44"/>
        <v>553</v>
      </c>
      <c r="G551">
        <f t="shared" si="42"/>
        <v>552</v>
      </c>
      <c r="H551" t="s">
        <v>1423</v>
      </c>
      <c r="I551" t="str">
        <f t="shared" si="45"/>
        <v xml:space="preserve">    552 : "tails-p",</v>
      </c>
    </row>
    <row r="552" spans="3:9">
      <c r="C552">
        <f t="shared" si="46"/>
        <v>554</v>
      </c>
      <c r="D552" t="s">
        <v>794</v>
      </c>
      <c r="E552" t="str">
        <f t="shared" si="43"/>
        <v xml:space="preserve">    554 : "porom-tay",</v>
      </c>
      <c r="F552">
        <f t="shared" si="44"/>
        <v>554</v>
      </c>
      <c r="G552">
        <f t="shared" si="42"/>
        <v>553</v>
      </c>
      <c r="H552" t="s">
        <v>1424</v>
      </c>
      <c r="I552" t="str">
        <f t="shared" si="45"/>
        <v xml:space="preserve">    553 : "talim-p",</v>
      </c>
    </row>
    <row r="553" spans="3:9">
      <c r="C553">
        <f t="shared" si="46"/>
        <v>555</v>
      </c>
      <c r="D553" t="s">
        <v>795</v>
      </c>
      <c r="E553" t="str">
        <f t="shared" si="43"/>
        <v xml:space="preserve">    555 : "porom",</v>
      </c>
      <c r="F553">
        <f t="shared" si="44"/>
        <v>555</v>
      </c>
      <c r="G553">
        <f t="shared" si="42"/>
        <v>554</v>
      </c>
      <c r="H553" t="s">
        <v>1425</v>
      </c>
      <c r="I553" t="str">
        <f t="shared" si="45"/>
        <v xml:space="preserve">    554 : "teddie-p",</v>
      </c>
    </row>
    <row r="554" spans="3:9">
      <c r="C554">
        <f t="shared" si="46"/>
        <v>556</v>
      </c>
      <c r="D554" t="s">
        <v>796</v>
      </c>
      <c r="E554" t="str">
        <f t="shared" si="43"/>
        <v xml:space="preserve">    556 : "potato",</v>
      </c>
      <c r="F554">
        <f t="shared" si="44"/>
        <v>556</v>
      </c>
      <c r="G554">
        <f t="shared" si="42"/>
        <v>555</v>
      </c>
      <c r="H554" t="s">
        <v>1426</v>
      </c>
      <c r="I554" t="str">
        <f t="shared" si="45"/>
        <v xml:space="preserve">    555 : "tellah-p",</v>
      </c>
    </row>
    <row r="555" spans="3:9">
      <c r="C555">
        <f t="shared" si="46"/>
        <v>557</v>
      </c>
      <c r="D555" t="s">
        <v>797</v>
      </c>
      <c r="E555" t="str">
        <f t="shared" si="43"/>
        <v xml:space="preserve">    557 : "predator",</v>
      </c>
      <c r="F555">
        <f t="shared" si="44"/>
        <v>557</v>
      </c>
      <c r="G555">
        <f t="shared" si="42"/>
        <v>556</v>
      </c>
      <c r="H555" t="s">
        <v>1427</v>
      </c>
      <c r="I555" t="str">
        <f t="shared" si="45"/>
        <v xml:space="preserve">    556 : "terra-amano-p",</v>
      </c>
    </row>
    <row r="556" spans="3:9">
      <c r="C556">
        <f t="shared" si="46"/>
        <v>558</v>
      </c>
      <c r="D556" t="s">
        <v>798</v>
      </c>
      <c r="E556" t="str">
        <f t="shared" si="43"/>
        <v xml:space="preserve">    558 : "prisoner",</v>
      </c>
      <c r="F556">
        <f t="shared" si="44"/>
        <v>558</v>
      </c>
      <c r="G556">
        <f t="shared" si="42"/>
        <v>557</v>
      </c>
      <c r="H556" t="s">
        <v>1428</v>
      </c>
      <c r="I556" t="str">
        <f t="shared" si="45"/>
        <v xml:space="preserve">    557 : "terra-rydia-p",</v>
      </c>
    </row>
    <row r="557" spans="3:9">
      <c r="C557">
        <f t="shared" si="46"/>
        <v>559</v>
      </c>
      <c r="D557" t="s">
        <v>799</v>
      </c>
      <c r="E557" t="str">
        <f t="shared" si="43"/>
        <v xml:space="preserve">    559 : "psicom",</v>
      </c>
      <c r="F557">
        <f t="shared" si="44"/>
        <v>559</v>
      </c>
      <c r="G557">
        <f t="shared" si="42"/>
        <v>558</v>
      </c>
      <c r="H557" t="s">
        <v>1429</v>
      </c>
      <c r="I557" t="str">
        <f t="shared" si="45"/>
        <v xml:space="preserve">    558 : "teta-p",</v>
      </c>
    </row>
    <row r="558" spans="3:9">
      <c r="C558">
        <f t="shared" si="46"/>
        <v>560</v>
      </c>
      <c r="D558" t="s">
        <v>800</v>
      </c>
      <c r="E558" t="str">
        <f t="shared" si="43"/>
        <v xml:space="preserve">    560 : "purgedeportee",</v>
      </c>
      <c r="F558">
        <f t="shared" si="44"/>
        <v>560</v>
      </c>
      <c r="G558">
        <f t="shared" si="42"/>
        <v>559</v>
      </c>
      <c r="H558" t="s">
        <v>1430</v>
      </c>
      <c r="I558" t="str">
        <f t="shared" si="45"/>
        <v xml:space="preserve">    559 : "thief-ff1-p",</v>
      </c>
    </row>
    <row r="559" spans="3:9">
      <c r="C559">
        <f t="shared" si="46"/>
        <v>561</v>
      </c>
      <c r="D559" t="s">
        <v>801</v>
      </c>
      <c r="E559" t="str">
        <f t="shared" si="43"/>
        <v xml:space="preserve">    561 : "purplepikmin",</v>
      </c>
      <c r="F559">
        <f t="shared" si="44"/>
        <v>561</v>
      </c>
      <c r="G559">
        <f t="shared" si="42"/>
        <v>560</v>
      </c>
      <c r="H559" t="s">
        <v>1431</v>
      </c>
      <c r="I559" t="str">
        <f t="shared" si="45"/>
        <v xml:space="preserve">    560 : "thieffft-p",</v>
      </c>
    </row>
    <row r="560" spans="3:9">
      <c r="C560">
        <f t="shared" si="46"/>
        <v>562</v>
      </c>
      <c r="D560" t="s">
        <v>802</v>
      </c>
      <c r="E560" t="str">
        <f t="shared" si="43"/>
        <v xml:space="preserve">    562 : "queenbrahne",</v>
      </c>
      <c r="F560">
        <f t="shared" si="44"/>
        <v>562</v>
      </c>
      <c r="G560">
        <f t="shared" si="42"/>
        <v>561</v>
      </c>
      <c r="H560" t="s">
        <v>1432</v>
      </c>
      <c r="I560" t="str">
        <f t="shared" si="45"/>
        <v xml:space="preserve">    561 : "tiamat-p",</v>
      </c>
    </row>
    <row r="561" spans="3:9">
      <c r="C561">
        <f t="shared" si="46"/>
        <v>563</v>
      </c>
      <c r="D561" t="s">
        <v>803</v>
      </c>
      <c r="E561" t="str">
        <f t="shared" si="43"/>
        <v xml:space="preserve">    563 : "quina",</v>
      </c>
      <c r="F561">
        <f t="shared" si="44"/>
        <v>563</v>
      </c>
      <c r="G561">
        <f t="shared" si="42"/>
        <v>562</v>
      </c>
      <c r="H561" t="s">
        <v>1433</v>
      </c>
      <c r="I561" t="str">
        <f t="shared" si="45"/>
        <v xml:space="preserve">    562 : "tidus-p",</v>
      </c>
    </row>
    <row r="562" spans="3:9">
      <c r="C562">
        <f t="shared" si="46"/>
        <v>564</v>
      </c>
      <c r="D562" t="s">
        <v>804</v>
      </c>
      <c r="E562" t="str">
        <f t="shared" si="43"/>
        <v xml:space="preserve">    564 : "quistis",</v>
      </c>
      <c r="F562">
        <f t="shared" si="44"/>
        <v>564</v>
      </c>
      <c r="G562">
        <f t="shared" ref="G562:G625" si="47">G561+1</f>
        <v>563</v>
      </c>
      <c r="H562" t="s">
        <v>1434</v>
      </c>
      <c r="I562" t="str">
        <f t="shared" si="45"/>
        <v xml:space="preserve">    563 : "tifa-cowgirl-p",</v>
      </c>
    </row>
    <row r="563" spans="3:9">
      <c r="C563">
        <f t="shared" si="46"/>
        <v>565</v>
      </c>
      <c r="D563" t="s">
        <v>805</v>
      </c>
      <c r="E563" t="str">
        <f t="shared" si="43"/>
        <v xml:space="preserve">    565 : "rachel",</v>
      </c>
      <c r="F563">
        <f t="shared" si="44"/>
        <v>565</v>
      </c>
      <c r="G563">
        <f t="shared" si="47"/>
        <v>564</v>
      </c>
      <c r="H563" t="s">
        <v>1435</v>
      </c>
      <c r="I563" t="str">
        <f t="shared" si="45"/>
        <v xml:space="preserve">    564 : "tifa-p",</v>
      </c>
    </row>
    <row r="564" spans="3:9">
      <c r="C564">
        <f t="shared" si="46"/>
        <v>566</v>
      </c>
      <c r="D564" t="s">
        <v>806</v>
      </c>
      <c r="E564" t="str">
        <f t="shared" si="43"/>
        <v xml:space="preserve">    566 : "raditz",</v>
      </c>
      <c r="F564">
        <f t="shared" si="44"/>
        <v>566</v>
      </c>
      <c r="G564">
        <f t="shared" si="47"/>
        <v>565</v>
      </c>
      <c r="H564" t="s">
        <v>1436</v>
      </c>
      <c r="I564" t="str">
        <f t="shared" si="45"/>
        <v xml:space="preserve">    565 : "tina-p",</v>
      </c>
    </row>
    <row r="565" spans="3:9">
      <c r="C565">
        <f t="shared" si="46"/>
        <v>567</v>
      </c>
      <c r="D565" t="s">
        <v>807</v>
      </c>
      <c r="E565" t="str">
        <f t="shared" si="43"/>
        <v xml:space="preserve">    567 : "ramza",</v>
      </c>
      <c r="F565">
        <f t="shared" si="44"/>
        <v>567</v>
      </c>
      <c r="G565">
        <f t="shared" si="47"/>
        <v>566</v>
      </c>
      <c r="H565" t="s">
        <v>1437</v>
      </c>
      <c r="I565" t="str">
        <f t="shared" si="45"/>
        <v xml:space="preserve">    566 : "tingle-p",</v>
      </c>
    </row>
    <row r="566" spans="3:9">
      <c r="C566">
        <f t="shared" si="46"/>
        <v>568</v>
      </c>
      <c r="D566" t="s">
        <v>808</v>
      </c>
      <c r="E566" t="str">
        <f t="shared" si="43"/>
        <v xml:space="preserve">    568 : "ramza1",</v>
      </c>
      <c r="F566">
        <f t="shared" si="44"/>
        <v>568</v>
      </c>
      <c r="G566">
        <f t="shared" si="47"/>
        <v>567</v>
      </c>
      <c r="H566" t="s">
        <v>1438</v>
      </c>
      <c r="I566" t="str">
        <f t="shared" si="45"/>
        <v xml:space="preserve">    567 : "tinymoogle-p",</v>
      </c>
    </row>
    <row r="567" spans="3:9">
      <c r="C567">
        <f t="shared" si="46"/>
        <v>569</v>
      </c>
      <c r="D567" t="s">
        <v>809</v>
      </c>
      <c r="E567" t="str">
        <f t="shared" si="43"/>
        <v xml:space="preserve">    569 : "rash",</v>
      </c>
      <c r="F567">
        <f t="shared" si="44"/>
        <v>569</v>
      </c>
      <c r="G567">
        <f t="shared" si="47"/>
        <v>568</v>
      </c>
      <c r="H567" t="s">
        <v>1439</v>
      </c>
      <c r="I567" t="str">
        <f t="shared" si="45"/>
        <v xml:space="preserve">    568 : "toadette-p",</v>
      </c>
    </row>
    <row r="568" spans="3:9">
      <c r="C568">
        <f t="shared" si="46"/>
        <v>570</v>
      </c>
      <c r="D568" t="s">
        <v>810</v>
      </c>
      <c r="E568" t="str">
        <f t="shared" si="43"/>
        <v xml:space="preserve">    570 : "reaper",</v>
      </c>
      <c r="F568">
        <f t="shared" si="44"/>
        <v>570</v>
      </c>
      <c r="G568">
        <f t="shared" si="47"/>
        <v>569</v>
      </c>
      <c r="H568" t="s">
        <v>1440</v>
      </c>
      <c r="I568" t="str">
        <f t="shared" si="45"/>
        <v xml:space="preserve">    569 : "tobi-p",</v>
      </c>
    </row>
    <row r="569" spans="3:9">
      <c r="C569">
        <f t="shared" si="46"/>
        <v>571</v>
      </c>
      <c r="D569" t="s">
        <v>811</v>
      </c>
      <c r="E569" t="str">
        <f t="shared" si="43"/>
        <v xml:space="preserve">    571 : "red",</v>
      </c>
      <c r="F569">
        <f t="shared" si="44"/>
        <v>571</v>
      </c>
      <c r="G569">
        <f t="shared" si="47"/>
        <v>570</v>
      </c>
      <c r="H569" t="s">
        <v>1441</v>
      </c>
      <c r="I569" t="str">
        <f t="shared" si="45"/>
        <v xml:space="preserve">    570 : "tohka-p",</v>
      </c>
    </row>
    <row r="570" spans="3:9">
      <c r="C570">
        <f t="shared" si="46"/>
        <v>572</v>
      </c>
      <c r="D570" t="s">
        <v>812</v>
      </c>
      <c r="E570" t="str">
        <f t="shared" si="43"/>
        <v xml:space="preserve">    572 : "redmage",</v>
      </c>
      <c r="F570">
        <f t="shared" si="44"/>
        <v>572</v>
      </c>
      <c r="G570">
        <f t="shared" si="47"/>
        <v>571</v>
      </c>
      <c r="H570" t="s">
        <v>1442</v>
      </c>
      <c r="I570" t="str">
        <f t="shared" si="45"/>
        <v xml:space="preserve">    571 : "tombstone-p",</v>
      </c>
    </row>
    <row r="571" spans="3:9">
      <c r="C571">
        <f t="shared" si="46"/>
        <v>573</v>
      </c>
      <c r="D571" t="s">
        <v>813</v>
      </c>
      <c r="E571" t="str">
        <f t="shared" si="43"/>
        <v xml:space="preserve">    573 : "redxiii",</v>
      </c>
      <c r="F571">
        <f t="shared" si="44"/>
        <v>573</v>
      </c>
      <c r="G571">
        <f t="shared" si="47"/>
        <v>572</v>
      </c>
      <c r="H571" t="s">
        <v>1443</v>
      </c>
      <c r="I571" t="str">
        <f t="shared" si="45"/>
        <v xml:space="preserve">    572 : "tonberry-p",</v>
      </c>
    </row>
    <row r="572" spans="3:9">
      <c r="C572">
        <f t="shared" si="46"/>
        <v>574</v>
      </c>
      <c r="D572" t="s">
        <v>814</v>
      </c>
      <c r="E572" t="str">
        <f t="shared" si="43"/>
        <v xml:space="preserve">    574 : "redxiii4s",</v>
      </c>
      <c r="F572">
        <f t="shared" si="44"/>
        <v>574</v>
      </c>
      <c r="G572">
        <f t="shared" si="47"/>
        <v>573</v>
      </c>
      <c r="H572" t="s">
        <v>1444</v>
      </c>
      <c r="I572" t="str">
        <f t="shared" si="45"/>
        <v xml:space="preserve">    573 : "tonberryking-p",</v>
      </c>
    </row>
    <row r="573" spans="3:9">
      <c r="C573">
        <f t="shared" si="46"/>
        <v>575</v>
      </c>
      <c r="D573" t="s">
        <v>815</v>
      </c>
      <c r="E573" t="str">
        <f t="shared" si="43"/>
        <v xml:space="preserve">    575 : "refia",</v>
      </c>
      <c r="F573">
        <f t="shared" si="44"/>
        <v>575</v>
      </c>
      <c r="G573">
        <f t="shared" si="47"/>
        <v>574</v>
      </c>
      <c r="H573" t="s">
        <v>1445</v>
      </c>
      <c r="I573" t="str">
        <f t="shared" si="45"/>
        <v xml:space="preserve">    574 : "toriel-p",</v>
      </c>
    </row>
    <row r="574" spans="3:9">
      <c r="C574">
        <f t="shared" si="46"/>
        <v>576</v>
      </c>
      <c r="D574" t="s">
        <v>816</v>
      </c>
      <c r="E574" t="str">
        <f t="shared" si="43"/>
        <v xml:space="preserve">    576 : "reimu",</v>
      </c>
      <c r="F574">
        <f t="shared" si="44"/>
        <v>576</v>
      </c>
      <c r="G574">
        <f t="shared" si="47"/>
        <v>575</v>
      </c>
      <c r="H574" t="s">
        <v>1446</v>
      </c>
      <c r="I574" t="str">
        <f t="shared" si="45"/>
        <v xml:space="preserve">    575 : "trainconductor-p",</v>
      </c>
    </row>
    <row r="575" spans="3:9">
      <c r="C575">
        <f t="shared" si="46"/>
        <v>577</v>
      </c>
      <c r="D575" t="s">
        <v>817</v>
      </c>
      <c r="E575" t="str">
        <f t="shared" si="43"/>
        <v xml:space="preserve">    577 : "relm-adult",</v>
      </c>
      <c r="F575">
        <f t="shared" si="44"/>
        <v>577</v>
      </c>
      <c r="G575">
        <f t="shared" si="47"/>
        <v>576</v>
      </c>
      <c r="H575" t="s">
        <v>1447</v>
      </c>
      <c r="I575" t="str">
        <f t="shared" si="45"/>
        <v xml:space="preserve">    576 : "treasurechest-p",</v>
      </c>
    </row>
    <row r="576" spans="3:9">
      <c r="C576">
        <f t="shared" si="46"/>
        <v>578</v>
      </c>
      <c r="D576" t="s">
        <v>818</v>
      </c>
      <c r="E576" t="str">
        <f t="shared" si="43"/>
        <v xml:space="preserve">    578 : "relm-amano",</v>
      </c>
      <c r="F576">
        <f t="shared" si="44"/>
        <v>578</v>
      </c>
      <c r="G576">
        <f t="shared" si="47"/>
        <v>577</v>
      </c>
      <c r="H576" t="s">
        <v>1448</v>
      </c>
      <c r="I576" t="str">
        <f t="shared" si="45"/>
        <v xml:space="preserve">    577 : "tree-p",</v>
      </c>
    </row>
    <row r="577" spans="3:9">
      <c r="C577">
        <f t="shared" si="46"/>
        <v>579</v>
      </c>
      <c r="D577" t="s">
        <v>819</v>
      </c>
      <c r="E577" t="str">
        <f t="shared" si="43"/>
        <v xml:space="preserve">    579 : "relm-krile",</v>
      </c>
      <c r="F577">
        <f t="shared" si="44"/>
        <v>579</v>
      </c>
      <c r="G577">
        <f t="shared" si="47"/>
        <v>578</v>
      </c>
      <c r="H577" t="s">
        <v>1449</v>
      </c>
      <c r="I577" t="str">
        <f t="shared" si="45"/>
        <v xml:space="preserve">    578 : "turtle-p",</v>
      </c>
    </row>
    <row r="578" spans="3:9">
      <c r="C578">
        <f t="shared" si="46"/>
        <v>580</v>
      </c>
      <c r="D578" t="s">
        <v>820</v>
      </c>
      <c r="E578" t="str">
        <f t="shared" si="43"/>
        <v xml:space="preserve">    580 : "relm-shantotto",</v>
      </c>
      <c r="F578">
        <f t="shared" si="44"/>
        <v>580</v>
      </c>
      <c r="G578">
        <f t="shared" si="47"/>
        <v>579</v>
      </c>
      <c r="H578" t="s">
        <v>1450</v>
      </c>
      <c r="I578" t="str">
        <f t="shared" si="45"/>
        <v xml:space="preserve">    579 : "tyro-p",</v>
      </c>
    </row>
    <row r="579" spans="3:9">
      <c r="C579">
        <f t="shared" si="46"/>
        <v>581</v>
      </c>
      <c r="D579" t="s">
        <v>821</v>
      </c>
      <c r="E579" t="str">
        <f t="shared" si="43"/>
        <v xml:space="preserve">    581 : "relm-whitemage",</v>
      </c>
      <c r="F579">
        <f t="shared" si="44"/>
        <v>581</v>
      </c>
      <c r="G579">
        <f t="shared" si="47"/>
        <v>580</v>
      </c>
      <c r="H579" t="s">
        <v>1451</v>
      </c>
      <c r="I579" t="str">
        <f t="shared" si="45"/>
        <v xml:space="preserve">    580 : "ultros-p",</v>
      </c>
    </row>
    <row r="580" spans="3:9">
      <c r="C580">
        <f t="shared" si="46"/>
        <v>582</v>
      </c>
      <c r="D580" t="s">
        <v>822</v>
      </c>
      <c r="E580" t="str">
        <f t="shared" si="43"/>
        <v xml:space="preserve">    582 : "relm-yuffie",</v>
      </c>
      <c r="F580">
        <f t="shared" si="44"/>
        <v>582</v>
      </c>
      <c r="G580">
        <f t="shared" si="47"/>
        <v>581</v>
      </c>
      <c r="H580" t="s">
        <v>1452</v>
      </c>
      <c r="I580" t="str">
        <f t="shared" si="45"/>
        <v xml:space="preserve">    581 : "umaro-banon-p",</v>
      </c>
    </row>
    <row r="581" spans="3:9">
      <c r="C581">
        <f t="shared" si="46"/>
        <v>583</v>
      </c>
      <c r="D581" t="s">
        <v>823</v>
      </c>
      <c r="E581" t="str">
        <f t="shared" si="43"/>
        <v xml:space="preserve">    583 : "relm-yuna",</v>
      </c>
      <c r="F581">
        <f t="shared" si="44"/>
        <v>583</v>
      </c>
      <c r="G581">
        <f t="shared" si="47"/>
        <v>582</v>
      </c>
      <c r="H581" t="s">
        <v>1453</v>
      </c>
      <c r="I581" t="str">
        <f t="shared" si="45"/>
        <v xml:space="preserve">    582 : "umaro-kimahri-p",</v>
      </c>
    </row>
    <row r="582" spans="3:9">
      <c r="C582">
        <f t="shared" si="46"/>
        <v>584</v>
      </c>
      <c r="D582" t="s">
        <v>824</v>
      </c>
      <c r="E582" t="str">
        <f t="shared" si="43"/>
        <v xml:space="preserve">    584 : "reno",</v>
      </c>
      <c r="F582">
        <f t="shared" si="44"/>
        <v>584</v>
      </c>
      <c r="G582">
        <f t="shared" si="47"/>
        <v>583</v>
      </c>
      <c r="H582" t="s">
        <v>1454</v>
      </c>
      <c r="I582" t="str">
        <f t="shared" si="45"/>
        <v xml:space="preserve">    583 : "uni-p",</v>
      </c>
    </row>
    <row r="583" spans="3:9">
      <c r="C583">
        <f t="shared" si="46"/>
        <v>585</v>
      </c>
      <c r="D583" t="s">
        <v>825</v>
      </c>
      <c r="E583" t="str">
        <f t="shared" si="43"/>
        <v xml:space="preserve">    585 : "returner-warrior",</v>
      </c>
      <c r="F583">
        <f t="shared" si="44"/>
        <v>585</v>
      </c>
      <c r="G583">
        <f t="shared" si="47"/>
        <v>584</v>
      </c>
      <c r="H583" t="s">
        <v>1455</v>
      </c>
      <c r="I583" t="str">
        <f t="shared" si="45"/>
        <v xml:space="preserve">    584 : "ursula-p",</v>
      </c>
    </row>
    <row r="584" spans="3:9">
      <c r="C584">
        <f t="shared" si="46"/>
        <v>586</v>
      </c>
      <c r="D584" t="s">
        <v>826</v>
      </c>
      <c r="E584" t="str">
        <f t="shared" ref="E584:E647" si="48">"    "&amp;C584&amp;" : """&amp;D584&amp;""","</f>
        <v xml:space="preserve">    586 : "returner",</v>
      </c>
      <c r="F584">
        <f t="shared" si="44"/>
        <v>586</v>
      </c>
      <c r="G584">
        <f t="shared" si="47"/>
        <v>585</v>
      </c>
      <c r="H584" t="s">
        <v>1456</v>
      </c>
      <c r="I584" t="str">
        <f t="shared" si="45"/>
        <v xml:space="preserve">    585 : "vaan-p",</v>
      </c>
    </row>
    <row r="585" spans="3:9">
      <c r="C585">
        <f t="shared" si="46"/>
        <v>587</v>
      </c>
      <c r="D585" t="s">
        <v>827</v>
      </c>
      <c r="E585" t="str">
        <f t="shared" si="48"/>
        <v xml:space="preserve">    587 : "ricard",</v>
      </c>
      <c r="F585">
        <f t="shared" si="44"/>
        <v>587</v>
      </c>
      <c r="G585">
        <f t="shared" si="47"/>
        <v>586</v>
      </c>
      <c r="H585" t="s">
        <v>1457</v>
      </c>
      <c r="I585" t="str">
        <f t="shared" si="45"/>
        <v xml:space="preserve">    586 : "vader-p",</v>
      </c>
    </row>
    <row r="586" spans="3:9">
      <c r="C586">
        <f t="shared" si="46"/>
        <v>588</v>
      </c>
      <c r="D586" t="s">
        <v>828</v>
      </c>
      <c r="E586" t="str">
        <f t="shared" si="48"/>
        <v xml:space="preserve">    588 : "ridley",</v>
      </c>
      <c r="F586">
        <f t="shared" si="44"/>
        <v>588</v>
      </c>
      <c r="G586">
        <f t="shared" si="47"/>
        <v>587</v>
      </c>
      <c r="H586" t="s">
        <v>1458</v>
      </c>
      <c r="I586" t="str">
        <f t="shared" si="45"/>
        <v xml:space="preserve">    587 : "valkyrie-p",</v>
      </c>
    </row>
    <row r="587" spans="3:9">
      <c r="C587">
        <f t="shared" si="46"/>
        <v>589</v>
      </c>
      <c r="D587" t="s">
        <v>829</v>
      </c>
      <c r="E587" t="str">
        <f t="shared" si="48"/>
        <v xml:space="preserve">    589 : "rikku-divesuit",</v>
      </c>
      <c r="F587">
        <f t="shared" si="44"/>
        <v>589</v>
      </c>
      <c r="G587">
        <f t="shared" si="47"/>
        <v>588</v>
      </c>
      <c r="H587" t="s">
        <v>1459</v>
      </c>
      <c r="I587" t="str">
        <f t="shared" si="45"/>
        <v xml:space="preserve">    588 : "van-p",</v>
      </c>
    </row>
    <row r="588" spans="3:9">
      <c r="C588">
        <f t="shared" si="46"/>
        <v>590</v>
      </c>
      <c r="D588" t="s">
        <v>830</v>
      </c>
      <c r="E588" t="str">
        <f t="shared" si="48"/>
        <v xml:space="preserve">    590 : "rikku",</v>
      </c>
      <c r="F588">
        <f t="shared" si="44"/>
        <v>590</v>
      </c>
      <c r="G588">
        <f t="shared" si="47"/>
        <v>589</v>
      </c>
      <c r="H588" t="s">
        <v>1460</v>
      </c>
      <c r="I588" t="str">
        <f t="shared" si="45"/>
        <v xml:space="preserve">    589 : "vanille-p",</v>
      </c>
    </row>
    <row r="589" spans="3:9">
      <c r="C589">
        <f t="shared" si="46"/>
        <v>591</v>
      </c>
      <c r="D589" t="s">
        <v>831</v>
      </c>
      <c r="E589" t="str">
        <f t="shared" si="48"/>
        <v xml:space="preserve">    591 : "rimururu",</v>
      </c>
      <c r="F589">
        <f t="shared" si="44"/>
        <v>591</v>
      </c>
      <c r="G589">
        <f t="shared" si="47"/>
        <v>590</v>
      </c>
      <c r="H589" t="s">
        <v>1461</v>
      </c>
      <c r="I589" t="str">
        <f t="shared" si="45"/>
        <v xml:space="preserve">    590 : "vargas-p",</v>
      </c>
    </row>
    <row r="590" spans="3:9">
      <c r="C590">
        <f t="shared" si="46"/>
        <v>592</v>
      </c>
      <c r="D590" t="s">
        <v>832</v>
      </c>
      <c r="E590" t="str">
        <f t="shared" si="48"/>
        <v xml:space="preserve">    592 : "rinoa-dress",</v>
      </c>
      <c r="F590">
        <f t="shared" si="44"/>
        <v>592</v>
      </c>
      <c r="G590">
        <f t="shared" si="47"/>
        <v>591</v>
      </c>
      <c r="H590" t="s">
        <v>1462</v>
      </c>
      <c r="I590" t="str">
        <f t="shared" si="45"/>
        <v xml:space="preserve">    591 : "vayne-p",</v>
      </c>
    </row>
    <row r="591" spans="3:9">
      <c r="C591">
        <f t="shared" si="46"/>
        <v>593</v>
      </c>
      <c r="D591" t="s">
        <v>833</v>
      </c>
      <c r="E591" t="str">
        <f t="shared" si="48"/>
        <v xml:space="preserve">    593 : "rinoa",</v>
      </c>
      <c r="F591">
        <f t="shared" si="44"/>
        <v>593</v>
      </c>
      <c r="G591">
        <f t="shared" si="47"/>
        <v>592</v>
      </c>
      <c r="H591" t="s">
        <v>1463</v>
      </c>
      <c r="I591" t="str">
        <f t="shared" si="45"/>
        <v xml:space="preserve">    592 : "vert-p",</v>
      </c>
    </row>
    <row r="592" spans="3:9">
      <c r="C592">
        <f t="shared" si="46"/>
        <v>594</v>
      </c>
      <c r="D592" t="s">
        <v>834</v>
      </c>
      <c r="E592" t="str">
        <f t="shared" si="48"/>
        <v xml:space="preserve">    594 : "robo",</v>
      </c>
      <c r="F592">
        <f t="shared" si="44"/>
        <v>594</v>
      </c>
      <c r="G592">
        <f t="shared" si="47"/>
        <v>593</v>
      </c>
      <c r="H592" t="s">
        <v>1464</v>
      </c>
      <c r="I592" t="str">
        <f t="shared" si="45"/>
        <v xml:space="preserve">    593 : "vincent-p",</v>
      </c>
    </row>
    <row r="593" spans="3:9">
      <c r="C593">
        <f t="shared" si="46"/>
        <v>595</v>
      </c>
      <c r="D593" t="s">
        <v>835</v>
      </c>
      <c r="E593" t="str">
        <f t="shared" si="48"/>
        <v xml:space="preserve">    595 : "rom",</v>
      </c>
      <c r="F593">
        <f t="shared" si="44"/>
        <v>595</v>
      </c>
      <c r="G593">
        <f t="shared" si="47"/>
        <v>594</v>
      </c>
      <c r="H593" t="s">
        <v>1465</v>
      </c>
      <c r="I593" t="str">
        <f t="shared" si="45"/>
        <v xml:space="preserve">    594 : "vivi-p",</v>
      </c>
    </row>
    <row r="594" spans="3:9">
      <c r="C594">
        <f t="shared" si="46"/>
        <v>596</v>
      </c>
      <c r="D594" t="s">
        <v>836</v>
      </c>
      <c r="E594" t="str">
        <f t="shared" si="48"/>
        <v xml:space="preserve">    596 : "rosa",</v>
      </c>
      <c r="F594">
        <f t="shared" si="44"/>
        <v>596</v>
      </c>
      <c r="G594">
        <f t="shared" si="47"/>
        <v>595</v>
      </c>
      <c r="H594" t="s">
        <v>1466</v>
      </c>
      <c r="I594" t="str">
        <f t="shared" si="45"/>
        <v xml:space="preserve">    595 : "vomammoth-p",</v>
      </c>
    </row>
    <row r="595" spans="3:9">
      <c r="C595">
        <f t="shared" si="46"/>
        <v>597</v>
      </c>
      <c r="D595" t="s">
        <v>837</v>
      </c>
      <c r="E595" t="str">
        <f t="shared" si="48"/>
        <v xml:space="preserve">    597 : "rubicante",</v>
      </c>
      <c r="F595">
        <f t="shared" si="44"/>
        <v>597</v>
      </c>
      <c r="G595">
        <f t="shared" si="47"/>
        <v>596</v>
      </c>
      <c r="H595" t="s">
        <v>1467</v>
      </c>
      <c r="I595" t="str">
        <f t="shared" si="45"/>
        <v xml:space="preserve">    596 : "vormav-p",</v>
      </c>
    </row>
    <row r="596" spans="3:9">
      <c r="C596">
        <f t="shared" si="46"/>
        <v>598</v>
      </c>
      <c r="D596" t="s">
        <v>838</v>
      </c>
      <c r="E596" t="str">
        <f t="shared" si="48"/>
        <v xml:space="preserve">    598 : "rude",</v>
      </c>
      <c r="F596">
        <f t="shared" si="44"/>
        <v>598</v>
      </c>
      <c r="G596">
        <f t="shared" si="47"/>
        <v>597</v>
      </c>
      <c r="H596" t="s">
        <v>1468</v>
      </c>
      <c r="I596" t="str">
        <f t="shared" si="45"/>
        <v xml:space="preserve">    597 : "vossler-p",</v>
      </c>
    </row>
    <row r="597" spans="3:9">
      <c r="C597">
        <f t="shared" si="46"/>
        <v>599</v>
      </c>
      <c r="D597" t="s">
        <v>839</v>
      </c>
      <c r="E597" t="str">
        <f t="shared" si="48"/>
        <v xml:space="preserve">    599 : "rufus",</v>
      </c>
      <c r="F597">
        <f t="shared" si="44"/>
        <v>599</v>
      </c>
      <c r="G597">
        <f t="shared" si="47"/>
        <v>598</v>
      </c>
      <c r="H597" t="s">
        <v>1469</v>
      </c>
      <c r="I597" t="str">
        <f t="shared" si="45"/>
        <v xml:space="preserve">    598 : "wakka-p",</v>
      </c>
    </row>
    <row r="598" spans="3:9">
      <c r="C598">
        <f t="shared" si="46"/>
        <v>600</v>
      </c>
      <c r="D598" t="s">
        <v>840</v>
      </c>
      <c r="E598" t="str">
        <f t="shared" si="48"/>
        <v xml:space="preserve">    600 : "rumia",</v>
      </c>
      <c r="F598">
        <f t="shared" si="44"/>
        <v>600</v>
      </c>
      <c r="G598">
        <f t="shared" si="47"/>
        <v>599</v>
      </c>
      <c r="H598" t="s">
        <v>1470</v>
      </c>
      <c r="I598" t="str">
        <f t="shared" si="45"/>
        <v xml:space="preserve">    599 : "ward-p",</v>
      </c>
    </row>
    <row r="599" spans="3:9">
      <c r="C599">
        <f t="shared" si="46"/>
        <v>601</v>
      </c>
      <c r="D599" t="s">
        <v>841</v>
      </c>
      <c r="E599" t="str">
        <f t="shared" si="48"/>
        <v xml:space="preserve">    601 : "rydia-child",</v>
      </c>
      <c r="F599">
        <f t="shared" si="44"/>
        <v>601</v>
      </c>
      <c r="G599">
        <f t="shared" si="47"/>
        <v>600</v>
      </c>
      <c r="H599" t="s">
        <v>1471</v>
      </c>
      <c r="I599" t="str">
        <f t="shared" si="45"/>
        <v xml:space="preserve">    600 : "warrioroflight-p",</v>
      </c>
    </row>
    <row r="600" spans="3:9">
      <c r="C600">
        <f t="shared" si="46"/>
        <v>602</v>
      </c>
      <c r="D600" t="s">
        <v>842</v>
      </c>
      <c r="E600" t="str">
        <f t="shared" si="48"/>
        <v xml:space="preserve">    602 : "rydia",</v>
      </c>
      <c r="F600">
        <f t="shared" si="44"/>
        <v>602</v>
      </c>
      <c r="G600">
        <f t="shared" si="47"/>
        <v>601</v>
      </c>
      <c r="H600" t="s">
        <v>1472</v>
      </c>
      <c r="I600" t="str">
        <f t="shared" si="45"/>
        <v xml:space="preserve">    601 : "wedge7-p",</v>
      </c>
    </row>
    <row r="601" spans="3:9">
      <c r="C601">
        <f t="shared" si="46"/>
        <v>603</v>
      </c>
      <c r="D601" t="s">
        <v>843</v>
      </c>
      <c r="E601" t="str">
        <f t="shared" si="48"/>
        <v xml:space="preserve">    603 : "ryubof",</v>
      </c>
      <c r="F601">
        <f t="shared" si="44"/>
        <v>603</v>
      </c>
      <c r="G601">
        <f t="shared" si="47"/>
        <v>602</v>
      </c>
      <c r="H601" t="s">
        <v>1473</v>
      </c>
      <c r="I601" t="str">
        <f t="shared" si="45"/>
        <v xml:space="preserve">    602 : "whitemage-f-p",</v>
      </c>
    </row>
    <row r="602" spans="3:9">
      <c r="C602">
        <f t="shared" si="46"/>
        <v>604</v>
      </c>
      <c r="D602" t="s">
        <v>844</v>
      </c>
      <c r="E602" t="str">
        <f t="shared" si="48"/>
        <v xml:space="preserve">    604 : "ryusf",</v>
      </c>
      <c r="F602">
        <f t="shared" si="44"/>
        <v>604</v>
      </c>
      <c r="G602">
        <f t="shared" si="47"/>
        <v>603</v>
      </c>
      <c r="H602" t="s">
        <v>1474</v>
      </c>
      <c r="I602" t="str">
        <f t="shared" si="45"/>
        <v xml:space="preserve">    603 : "whitemage-p",</v>
      </c>
    </row>
    <row r="603" spans="3:9">
      <c r="C603">
        <f t="shared" si="46"/>
        <v>605</v>
      </c>
      <c r="D603" t="s">
        <v>845</v>
      </c>
      <c r="E603" t="str">
        <f t="shared" si="48"/>
        <v xml:space="preserve">    605 : "sabin-edgar",</v>
      </c>
      <c r="F603">
        <f t="shared" si="44"/>
        <v>605</v>
      </c>
      <c r="G603">
        <f t="shared" si="47"/>
        <v>604</v>
      </c>
      <c r="H603" t="s">
        <v>1475</v>
      </c>
      <c r="I603" t="str">
        <f t="shared" si="45"/>
        <v xml:space="preserve">    604 : "wiegraf-p",</v>
      </c>
    </row>
    <row r="604" spans="3:9">
      <c r="C604">
        <f t="shared" si="46"/>
        <v>606</v>
      </c>
      <c r="D604" t="s">
        <v>846</v>
      </c>
      <c r="E604" t="str">
        <f t="shared" si="48"/>
        <v xml:space="preserve">    606 : "sabin-seifer",</v>
      </c>
      <c r="F604">
        <f t="shared" si="44"/>
        <v>606</v>
      </c>
      <c r="G604">
        <f t="shared" si="47"/>
        <v>605</v>
      </c>
      <c r="H604" t="s">
        <v>1476</v>
      </c>
      <c r="I604" t="str">
        <f t="shared" si="45"/>
        <v xml:space="preserve">    605 : "wolfdog-p",</v>
      </c>
    </row>
    <row r="605" spans="3:9">
      <c r="C605">
        <f t="shared" si="46"/>
        <v>607</v>
      </c>
      <c r="D605" t="s">
        <v>847</v>
      </c>
      <c r="E605" t="str">
        <f t="shared" si="48"/>
        <v xml:space="preserve">    607 : "sabin-t",</v>
      </c>
      <c r="F605">
        <f t="shared" si="44"/>
        <v>607</v>
      </c>
      <c r="G605">
        <f t="shared" si="47"/>
        <v>606</v>
      </c>
      <c r="H605" t="s">
        <v>1477</v>
      </c>
      <c r="I605" t="str">
        <f t="shared" si="45"/>
        <v xml:space="preserve">    606 : "wolverine-p",</v>
      </c>
    </row>
    <row r="606" spans="3:9">
      <c r="C606">
        <f t="shared" si="46"/>
        <v>608</v>
      </c>
      <c r="D606" t="s">
        <v>848</v>
      </c>
      <c r="E606" t="str">
        <f t="shared" si="48"/>
        <v xml:space="preserve">    608 : "sabin-vargas",</v>
      </c>
      <c r="F606">
        <f t="shared" si="44"/>
        <v>608</v>
      </c>
      <c r="G606">
        <f t="shared" si="47"/>
        <v>607</v>
      </c>
      <c r="H606" t="s">
        <v>1478</v>
      </c>
      <c r="I606" t="str">
        <f t="shared" si="45"/>
        <v xml:space="preserve">    607 : "xenomorph-p",</v>
      </c>
    </row>
    <row r="607" spans="3:9">
      <c r="C607">
        <f t="shared" si="46"/>
        <v>609</v>
      </c>
      <c r="D607" t="s">
        <v>849</v>
      </c>
      <c r="E607" t="str">
        <f t="shared" si="48"/>
        <v xml:space="preserve">    609 : "sabin-wakka",</v>
      </c>
      <c r="F607">
        <f t="shared" si="44"/>
        <v>609</v>
      </c>
      <c r="G607">
        <f t="shared" si="47"/>
        <v>608</v>
      </c>
      <c r="H607" t="s">
        <v>1479</v>
      </c>
      <c r="I607" t="str">
        <f t="shared" si="45"/>
        <v xml:space="preserve">    608 : "xezhat-p",</v>
      </c>
    </row>
    <row r="608" spans="3:9">
      <c r="C608">
        <f t="shared" si="46"/>
        <v>610</v>
      </c>
      <c r="D608" t="s">
        <v>850</v>
      </c>
      <c r="E608" t="str">
        <f t="shared" si="48"/>
        <v xml:space="preserve">    610 : "sakuya",</v>
      </c>
      <c r="F608">
        <f t="shared" ref="F608:F671" si="49">C608</f>
        <v>610</v>
      </c>
      <c r="G608">
        <f t="shared" si="47"/>
        <v>609</v>
      </c>
      <c r="H608" t="s">
        <v>1480</v>
      </c>
      <c r="I608" t="str">
        <f t="shared" ref="I608:I663" si="50">"    "&amp;G608&amp;" : """&amp;H608&amp;""","</f>
        <v xml:space="preserve">    609 : "yang-p",</v>
      </c>
    </row>
    <row r="609" spans="3:9">
      <c r="C609">
        <f t="shared" ref="C609:C672" si="51">C608+1</f>
        <v>611</v>
      </c>
      <c r="D609" t="s">
        <v>851</v>
      </c>
      <c r="E609" t="str">
        <f t="shared" si="48"/>
        <v xml:space="preserve">    611 : "samehada",</v>
      </c>
      <c r="F609">
        <f t="shared" si="49"/>
        <v>611</v>
      </c>
      <c r="G609">
        <f t="shared" si="47"/>
        <v>610</v>
      </c>
      <c r="H609" t="s">
        <v>1481</v>
      </c>
      <c r="I609" t="str">
        <f t="shared" si="50"/>
        <v xml:space="preserve">    610 : "yoshi-p",</v>
      </c>
    </row>
    <row r="610" spans="3:9">
      <c r="C610">
        <f t="shared" si="51"/>
        <v>612</v>
      </c>
      <c r="D610" t="s">
        <v>852</v>
      </c>
      <c r="E610" t="str">
        <f t="shared" si="48"/>
        <v xml:space="preserve">    612 : "samurai",</v>
      </c>
      <c r="F610">
        <f t="shared" si="49"/>
        <v>612</v>
      </c>
      <c r="G610">
        <f t="shared" si="47"/>
        <v>611</v>
      </c>
      <c r="H610" t="s">
        <v>1482</v>
      </c>
      <c r="I610" t="str">
        <f t="shared" si="50"/>
        <v xml:space="preserve">    611 : "yuffie-p",</v>
      </c>
    </row>
    <row r="611" spans="3:9">
      <c r="C611">
        <f t="shared" si="51"/>
        <v>613</v>
      </c>
      <c r="D611" t="s">
        <v>853</v>
      </c>
      <c r="E611" t="str">
        <f t="shared" si="48"/>
        <v xml:space="preserve">    613 : "samus-zero",</v>
      </c>
      <c r="F611">
        <f t="shared" si="49"/>
        <v>613</v>
      </c>
      <c r="G611">
        <f t="shared" si="47"/>
        <v>612</v>
      </c>
      <c r="H611" t="s">
        <v>1483</v>
      </c>
      <c r="I611" t="str">
        <f t="shared" si="50"/>
        <v xml:space="preserve">    612 : "yuna-p",</v>
      </c>
    </row>
    <row r="612" spans="3:9">
      <c r="C612">
        <f t="shared" si="51"/>
        <v>614</v>
      </c>
      <c r="D612" t="s">
        <v>854</v>
      </c>
      <c r="E612" t="str">
        <f t="shared" si="48"/>
        <v xml:space="preserve">    614 : "samus",</v>
      </c>
      <c r="F612">
        <f t="shared" si="49"/>
        <v>614</v>
      </c>
      <c r="G612">
        <f t="shared" si="47"/>
        <v>613</v>
      </c>
      <c r="H612" t="s">
        <v>1484</v>
      </c>
      <c r="I612" t="str">
        <f t="shared" si="50"/>
        <v xml:space="preserve">    613 : "yura-p",</v>
      </c>
    </row>
    <row r="613" spans="3:9">
      <c r="C613">
        <f t="shared" si="51"/>
        <v>615</v>
      </c>
      <c r="D613" t="s">
        <v>855</v>
      </c>
      <c r="E613" t="str">
        <f t="shared" si="48"/>
        <v xml:space="preserve">    615 : "sanae",</v>
      </c>
      <c r="F613">
        <f t="shared" si="49"/>
        <v>615</v>
      </c>
      <c r="G613">
        <f t="shared" si="47"/>
        <v>614</v>
      </c>
      <c r="H613" t="s">
        <v>1485</v>
      </c>
      <c r="I613" t="str">
        <f t="shared" si="50"/>
        <v xml:space="preserve">    614 : "zack-p",</v>
      </c>
    </row>
    <row r="614" spans="3:9">
      <c r="C614">
        <f t="shared" si="51"/>
        <v>616</v>
      </c>
      <c r="D614" t="s">
        <v>856</v>
      </c>
      <c r="E614" t="str">
        <f t="shared" si="48"/>
        <v xml:space="preserve">    616 : "sans",</v>
      </c>
      <c r="F614">
        <f t="shared" si="49"/>
        <v>616</v>
      </c>
      <c r="G614">
        <f t="shared" si="47"/>
        <v>615</v>
      </c>
      <c r="H614" t="s">
        <v>1486</v>
      </c>
      <c r="I614" t="str">
        <f t="shared" si="50"/>
        <v xml:space="preserve">    615 : "zalbag-p",</v>
      </c>
    </row>
    <row r="615" spans="3:9">
      <c r="C615">
        <f t="shared" si="51"/>
        <v>617</v>
      </c>
      <c r="D615" t="s">
        <v>857</v>
      </c>
      <c r="E615" t="str">
        <f t="shared" si="48"/>
        <v xml:space="preserve">    617 : "sarah",</v>
      </c>
      <c r="F615">
        <f t="shared" si="49"/>
        <v>617</v>
      </c>
      <c r="G615">
        <f t="shared" si="47"/>
        <v>616</v>
      </c>
      <c r="H615" t="s">
        <v>1487</v>
      </c>
      <c r="I615" t="str">
        <f t="shared" si="50"/>
        <v xml:space="preserve">    616 : "zelda-p",</v>
      </c>
    </row>
    <row r="616" spans="3:9">
      <c r="C616">
        <f t="shared" si="51"/>
        <v>618</v>
      </c>
      <c r="D616" t="s">
        <v>858</v>
      </c>
      <c r="E616" t="str">
        <f t="shared" si="48"/>
        <v xml:space="preserve">    618 : "sarisa",</v>
      </c>
      <c r="F616">
        <f t="shared" si="49"/>
        <v>618</v>
      </c>
      <c r="G616">
        <f t="shared" si="47"/>
        <v>617</v>
      </c>
      <c r="H616" t="s">
        <v>1488</v>
      </c>
      <c r="I616" t="str">
        <f t="shared" si="50"/>
        <v xml:space="preserve">    617 : "zell-p",</v>
      </c>
    </row>
    <row r="617" spans="3:9">
      <c r="C617">
        <f t="shared" si="51"/>
        <v>619</v>
      </c>
      <c r="D617" t="s">
        <v>859</v>
      </c>
      <c r="E617" t="str">
        <f t="shared" si="48"/>
        <v xml:space="preserve">    619 : "sasori",</v>
      </c>
      <c r="F617">
        <f t="shared" si="49"/>
        <v>619</v>
      </c>
      <c r="G617">
        <f t="shared" si="47"/>
        <v>618</v>
      </c>
      <c r="H617" t="s">
        <v>1489</v>
      </c>
      <c r="I617" t="str">
        <f t="shared" si="50"/>
        <v xml:space="preserve">    618 : "zetsu-p",</v>
      </c>
    </row>
    <row r="618" spans="3:9">
      <c r="C618">
        <f t="shared" si="51"/>
        <v>620</v>
      </c>
      <c r="D618" t="s">
        <v>860</v>
      </c>
      <c r="E618" t="str">
        <f t="shared" si="48"/>
        <v xml:space="preserve">    620 : "sazh",</v>
      </c>
      <c r="F618">
        <f t="shared" si="49"/>
        <v>620</v>
      </c>
      <c r="G618">
        <f t="shared" si="47"/>
        <v>619</v>
      </c>
      <c r="H618" t="s">
        <v>1490</v>
      </c>
      <c r="I618" t="str">
        <f t="shared" si="50"/>
        <v xml:space="preserve">    619 : "zidane-p",</v>
      </c>
    </row>
    <row r="619" spans="3:9">
      <c r="C619">
        <f t="shared" si="51"/>
        <v>621</v>
      </c>
      <c r="D619" t="s">
        <v>861</v>
      </c>
      <c r="E619" t="str">
        <f t="shared" si="48"/>
        <v xml:space="preserve">    621 : "scarmiglione",</v>
      </c>
      <c r="F619">
        <f t="shared" si="49"/>
        <v>621</v>
      </c>
      <c r="G619">
        <f t="shared" si="47"/>
        <v>620</v>
      </c>
      <c r="H619" t="s">
        <v>1491</v>
      </c>
      <c r="I619" t="str">
        <f t="shared" si="50"/>
        <v xml:space="preserve">    620 : "zombie-p",</v>
      </c>
    </row>
    <row r="620" spans="3:9">
      <c r="C620">
        <f t="shared" si="51"/>
        <v>622</v>
      </c>
      <c r="D620" t="s">
        <v>862</v>
      </c>
      <c r="E620" t="str">
        <f t="shared" si="48"/>
        <v xml:space="preserve">    622 : "schala",</v>
      </c>
      <c r="F620">
        <f t="shared" si="49"/>
        <v>622</v>
      </c>
      <c r="G620">
        <f t="shared" si="47"/>
        <v>621</v>
      </c>
      <c r="H620" t="s">
        <v>1694</v>
      </c>
      <c r="I620" t="str">
        <f t="shared" si="50"/>
        <v xml:space="preserve">    621 : "Antlion-Astaroth-FF4",</v>
      </c>
    </row>
    <row r="621" spans="3:9">
      <c r="C621">
        <f t="shared" si="51"/>
        <v>623</v>
      </c>
      <c r="D621" t="s">
        <v>863</v>
      </c>
      <c r="E621" t="str">
        <f t="shared" si="48"/>
        <v xml:space="preserve">    623 : "scholar",</v>
      </c>
      <c r="F621">
        <f t="shared" si="49"/>
        <v>623</v>
      </c>
      <c r="G621">
        <f t="shared" si="47"/>
        <v>622</v>
      </c>
      <c r="H621" t="s">
        <v>1735</v>
      </c>
      <c r="I621" t="str">
        <f t="shared" si="50"/>
        <v xml:space="preserve">    622 : "Arvis-JamesWhite89-FF6",</v>
      </c>
    </row>
    <row r="622" spans="3:9">
      <c r="C622">
        <f t="shared" si="51"/>
        <v>624</v>
      </c>
      <c r="D622" t="s">
        <v>864</v>
      </c>
      <c r="E622" t="str">
        <f t="shared" si="48"/>
        <v xml:space="preserve">    624 : "scientist-f",</v>
      </c>
      <c r="F622">
        <f t="shared" si="49"/>
        <v>624</v>
      </c>
      <c r="G622">
        <f t="shared" si="47"/>
        <v>623</v>
      </c>
      <c r="H622" t="s">
        <v>1696</v>
      </c>
      <c r="I622" t="str">
        <f t="shared" si="50"/>
        <v xml:space="preserve">    623 : "Atma-Astaroth-FF6",</v>
      </c>
    </row>
    <row r="623" spans="3:9">
      <c r="C623">
        <f t="shared" si="51"/>
        <v>625</v>
      </c>
      <c r="D623" t="s">
        <v>865</v>
      </c>
      <c r="E623" t="str">
        <f t="shared" si="48"/>
        <v xml:space="preserve">    625 : "scorpion",</v>
      </c>
      <c r="F623">
        <f t="shared" si="49"/>
        <v>625</v>
      </c>
      <c r="G623">
        <f t="shared" si="47"/>
        <v>624</v>
      </c>
      <c r="H623" t="s">
        <v>1736</v>
      </c>
      <c r="I623" t="str">
        <f t="shared" si="50"/>
        <v xml:space="preserve">    624 : "Beatrix-Xeblon-FF9",</v>
      </c>
    </row>
    <row r="624" spans="3:9">
      <c r="C624">
        <f t="shared" si="51"/>
        <v>626</v>
      </c>
      <c r="D624" t="s">
        <v>866</v>
      </c>
      <c r="E624" t="str">
        <f t="shared" si="48"/>
        <v xml:space="preserve">    626 : "scott",</v>
      </c>
      <c r="F624">
        <f t="shared" si="49"/>
        <v>626</v>
      </c>
      <c r="G624">
        <f t="shared" si="47"/>
        <v>625</v>
      </c>
      <c r="H624" t="s">
        <v>1698</v>
      </c>
      <c r="I624" t="str">
        <f t="shared" si="50"/>
        <v xml:space="preserve">    625 : "Boy-Zozma-FF6",</v>
      </c>
    </row>
    <row r="625" spans="3:9">
      <c r="C625">
        <f t="shared" si="51"/>
        <v>627</v>
      </c>
      <c r="D625" t="s">
        <v>867</v>
      </c>
      <c r="E625" t="str">
        <f t="shared" si="48"/>
        <v xml:space="preserve">    627 : "seeq",</v>
      </c>
      <c r="F625">
        <f t="shared" si="49"/>
        <v>627</v>
      </c>
      <c r="G625">
        <f t="shared" si="47"/>
        <v>626</v>
      </c>
      <c r="H625" t="s">
        <v>1699</v>
      </c>
      <c r="I625" t="str">
        <f t="shared" si="50"/>
        <v xml:space="preserve">    626 : "Cagnazzo-Astaroth-FF4",</v>
      </c>
    </row>
    <row r="626" spans="3:9">
      <c r="C626">
        <f t="shared" si="51"/>
        <v>628</v>
      </c>
      <c r="D626" t="s">
        <v>868</v>
      </c>
      <c r="E626" t="str">
        <f t="shared" si="48"/>
        <v xml:space="preserve">    628 : "seifer",</v>
      </c>
      <c r="F626">
        <f t="shared" si="49"/>
        <v>628</v>
      </c>
      <c r="G626">
        <f t="shared" ref="G626:G663" si="52">G625+1</f>
        <v>627</v>
      </c>
      <c r="H626" t="s">
        <v>1737</v>
      </c>
      <c r="I626" t="str">
        <f t="shared" si="50"/>
        <v xml:space="preserve">    627 : "Celes (Opera)-Astaroth_Zozma-FF6",</v>
      </c>
    </row>
    <row r="627" spans="3:9">
      <c r="C627">
        <f t="shared" si="51"/>
        <v>629</v>
      </c>
      <c r="D627" t="s">
        <v>869</v>
      </c>
      <c r="E627" t="str">
        <f t="shared" si="48"/>
        <v xml:space="preserve">    629 : "selphie-uniform",</v>
      </c>
      <c r="F627">
        <f t="shared" si="49"/>
        <v>629</v>
      </c>
      <c r="G627">
        <f t="shared" si="52"/>
        <v>628</v>
      </c>
      <c r="H627" t="s">
        <v>1702</v>
      </c>
      <c r="I627" t="str">
        <f t="shared" si="50"/>
        <v xml:space="preserve">    628 : "Clyde-PocoLoco-FF6",</v>
      </c>
    </row>
    <row r="628" spans="3:9">
      <c r="C628">
        <f t="shared" si="51"/>
        <v>630</v>
      </c>
      <c r="D628" t="s">
        <v>870</v>
      </c>
      <c r="E628" t="str">
        <f t="shared" si="48"/>
        <v xml:space="preserve">    630 : "selphie",</v>
      </c>
      <c r="F628">
        <f t="shared" si="49"/>
        <v>630</v>
      </c>
      <c r="G628">
        <f t="shared" si="52"/>
        <v>629</v>
      </c>
      <c r="H628" t="s">
        <v>1703</v>
      </c>
      <c r="I628" t="str">
        <f t="shared" si="50"/>
        <v xml:space="preserve">    629 : "Cultist-PocoLoco-FF6",</v>
      </c>
    </row>
    <row r="629" spans="3:9">
      <c r="C629">
        <f t="shared" si="51"/>
        <v>631</v>
      </c>
      <c r="D629" t="s">
        <v>871</v>
      </c>
      <c r="E629" t="str">
        <f t="shared" si="48"/>
        <v xml:space="preserve">    631 : "sephiroth",</v>
      </c>
      <c r="F629">
        <f t="shared" si="49"/>
        <v>631</v>
      </c>
      <c r="G629">
        <f t="shared" si="52"/>
        <v>630</v>
      </c>
      <c r="H629" t="s">
        <v>1738</v>
      </c>
      <c r="I629" t="str">
        <f t="shared" si="50"/>
        <v xml:space="preserve">    630 : "Dancer-PocoLoco_sutebenukun-FF6",</v>
      </c>
    </row>
    <row r="630" spans="3:9">
      <c r="C630">
        <f t="shared" si="51"/>
        <v>632</v>
      </c>
      <c r="D630" t="s">
        <v>872</v>
      </c>
      <c r="E630" t="str">
        <f t="shared" si="48"/>
        <v xml:space="preserve">    632 : "serafie",</v>
      </c>
      <c r="F630">
        <f t="shared" si="49"/>
        <v>632</v>
      </c>
      <c r="G630">
        <f t="shared" si="52"/>
        <v>631</v>
      </c>
      <c r="H630" t="s">
        <v>1705</v>
      </c>
      <c r="I630" t="str">
        <f t="shared" si="50"/>
        <v xml:space="preserve">    631 : "Dark Elf-Astaroth-FF4",</v>
      </c>
    </row>
    <row r="631" spans="3:9">
      <c r="C631">
        <f t="shared" si="51"/>
        <v>633</v>
      </c>
      <c r="D631" t="s">
        <v>873</v>
      </c>
      <c r="E631" t="str">
        <f t="shared" si="48"/>
        <v xml:space="preserve">    633 : "serah",</v>
      </c>
      <c r="F631">
        <f t="shared" si="49"/>
        <v>633</v>
      </c>
      <c r="G631">
        <f t="shared" si="52"/>
        <v>632</v>
      </c>
      <c r="H631" t="s">
        <v>1706</v>
      </c>
      <c r="I631" t="str">
        <f t="shared" si="50"/>
        <v xml:space="preserve">    632 : "Draco-PocoLoco-FF6",</v>
      </c>
    </row>
    <row r="632" spans="3:9">
      <c r="C632">
        <f t="shared" si="51"/>
        <v>634</v>
      </c>
      <c r="D632" t="s">
        <v>874</v>
      </c>
      <c r="E632" t="str">
        <f t="shared" si="48"/>
        <v xml:space="preserve">    634 : "seymour",</v>
      </c>
      <c r="F632">
        <f t="shared" si="49"/>
        <v>634</v>
      </c>
      <c r="G632">
        <f t="shared" si="52"/>
        <v>633</v>
      </c>
      <c r="H632" t="s">
        <v>1707</v>
      </c>
      <c r="I632" t="str">
        <f t="shared" si="50"/>
        <v xml:space="preserve">    633 : "Elena-Astaroth-FF7",</v>
      </c>
    </row>
    <row r="633" spans="3:9">
      <c r="C633">
        <f t="shared" si="51"/>
        <v>635</v>
      </c>
      <c r="D633" t="s">
        <v>875</v>
      </c>
      <c r="E633" t="str">
        <f t="shared" si="48"/>
        <v xml:space="preserve">    635 : "shadowsmith",</v>
      </c>
      <c r="F633">
        <f t="shared" si="49"/>
        <v>635</v>
      </c>
      <c r="G633">
        <f t="shared" si="52"/>
        <v>634</v>
      </c>
      <c r="H633" t="s">
        <v>1739</v>
      </c>
      <c r="I633" t="str">
        <f t="shared" si="50"/>
        <v xml:space="preserve">    634 : "Figaro Guard-JamesWhite89-FF6",</v>
      </c>
    </row>
    <row r="634" spans="3:9">
      <c r="C634">
        <f t="shared" si="51"/>
        <v>636</v>
      </c>
      <c r="D634" t="s">
        <v>876</v>
      </c>
      <c r="E634" t="str">
        <f t="shared" si="48"/>
        <v xml:space="preserve">    636 : "shantotto",</v>
      </c>
      <c r="F634">
        <f t="shared" si="49"/>
        <v>636</v>
      </c>
      <c r="G634">
        <f t="shared" si="52"/>
        <v>635</v>
      </c>
      <c r="H634" t="s">
        <v>1709</v>
      </c>
      <c r="I634" t="str">
        <f t="shared" si="50"/>
        <v xml:space="preserve">    635 : "Granny-Zozma-FF6",</v>
      </c>
    </row>
    <row r="635" spans="3:9">
      <c r="C635">
        <f t="shared" si="51"/>
        <v>637</v>
      </c>
      <c r="D635" t="s">
        <v>877</v>
      </c>
      <c r="E635" t="str">
        <f t="shared" si="48"/>
        <v xml:space="preserve">    637 : "sherlotta",</v>
      </c>
      <c r="F635">
        <f t="shared" si="49"/>
        <v>637</v>
      </c>
      <c r="G635">
        <f t="shared" si="52"/>
        <v>636</v>
      </c>
      <c r="H635" t="s">
        <v>1740</v>
      </c>
      <c r="I635" t="str">
        <f t="shared" si="50"/>
        <v xml:space="preserve">    636 : "Hojo-JamesWhite89-FF7",</v>
      </c>
    </row>
    <row r="636" spans="3:9">
      <c r="C636">
        <f t="shared" si="51"/>
        <v>638</v>
      </c>
      <c r="D636" t="s">
        <v>878</v>
      </c>
      <c r="E636" t="str">
        <f t="shared" si="48"/>
        <v xml:space="preserve">    638 : "shopkeeper",</v>
      </c>
      <c r="F636">
        <f t="shared" si="49"/>
        <v>638</v>
      </c>
      <c r="G636">
        <f t="shared" si="52"/>
        <v>637</v>
      </c>
      <c r="H636" t="s">
        <v>1710</v>
      </c>
      <c r="I636" t="str">
        <f t="shared" si="50"/>
        <v xml:space="preserve">    637 : "Hojo-LoneRedMage-FF7",</v>
      </c>
    </row>
    <row r="637" spans="3:9">
      <c r="C637">
        <f t="shared" si="51"/>
        <v>639</v>
      </c>
      <c r="D637" t="s">
        <v>879</v>
      </c>
      <c r="E637" t="str">
        <f t="shared" si="48"/>
        <v xml:space="preserve">    639 : "siegfried",</v>
      </c>
      <c r="F637">
        <f t="shared" si="49"/>
        <v>639</v>
      </c>
      <c r="G637">
        <f t="shared" si="52"/>
        <v>638</v>
      </c>
      <c r="H637" t="s">
        <v>1711</v>
      </c>
      <c r="I637" t="str">
        <f t="shared" si="50"/>
        <v xml:space="preserve">    638 : "Lady-Zozma-FF6",</v>
      </c>
    </row>
    <row r="638" spans="3:9">
      <c r="C638">
        <f t="shared" si="51"/>
        <v>640</v>
      </c>
      <c r="D638" t="s">
        <v>880</v>
      </c>
      <c r="E638" t="str">
        <f t="shared" si="48"/>
        <v xml:space="preserve">    640 : "simon",</v>
      </c>
      <c r="F638">
        <f t="shared" si="49"/>
        <v>640</v>
      </c>
      <c r="G638">
        <f t="shared" si="52"/>
        <v>639</v>
      </c>
      <c r="H638" t="s">
        <v>1741</v>
      </c>
      <c r="I638" t="str">
        <f t="shared" si="50"/>
        <v xml:space="preserve">    639 : "Link-Bluzhu-LTTP",</v>
      </c>
    </row>
    <row r="639" spans="3:9">
      <c r="C639">
        <f t="shared" si="51"/>
        <v>641</v>
      </c>
      <c r="D639" t="s">
        <v>881</v>
      </c>
      <c r="E639" t="str">
        <f t="shared" si="48"/>
        <v xml:space="preserve">    641 : "sion",</v>
      </c>
      <c r="F639">
        <f t="shared" si="49"/>
        <v>641</v>
      </c>
      <c r="G639">
        <f t="shared" si="52"/>
        <v>640</v>
      </c>
      <c r="H639" t="s">
        <v>1742</v>
      </c>
      <c r="I639" t="str">
        <f t="shared" si="50"/>
        <v xml:space="preserve">    640 : "Link-JamesWhite89-LegendOfZelda",</v>
      </c>
    </row>
    <row r="640" spans="3:9">
      <c r="C640">
        <f t="shared" si="51"/>
        <v>642</v>
      </c>
      <c r="D640" t="s">
        <v>882</v>
      </c>
      <c r="E640" t="str">
        <f t="shared" si="48"/>
        <v xml:space="preserve">    642 : "slash",</v>
      </c>
      <c r="F640">
        <f t="shared" si="49"/>
        <v>642</v>
      </c>
      <c r="G640">
        <f t="shared" si="52"/>
        <v>641</v>
      </c>
      <c r="H640" t="s">
        <v>1743</v>
      </c>
      <c r="I640" t="str">
        <f t="shared" si="50"/>
        <v xml:space="preserve">    641 : "LoneWolf-JamesWhite89-FF6",</v>
      </c>
    </row>
    <row r="641" spans="3:9">
      <c r="C641">
        <f t="shared" si="51"/>
        <v>643</v>
      </c>
      <c r="D641" t="s">
        <v>883</v>
      </c>
      <c r="E641" t="str">
        <f t="shared" si="48"/>
        <v xml:space="preserve">    643 : "slime",</v>
      </c>
      <c r="F641">
        <f t="shared" si="49"/>
        <v>643</v>
      </c>
      <c r="G641">
        <f t="shared" si="52"/>
        <v>642</v>
      </c>
      <c r="H641" t="s">
        <v>1714</v>
      </c>
      <c r="I641" t="str">
        <f t="shared" si="50"/>
        <v xml:space="preserve">    642 : "Lucca-FEOK-CT",</v>
      </c>
    </row>
    <row r="642" spans="3:9">
      <c r="C642">
        <f t="shared" si="51"/>
        <v>644</v>
      </c>
      <c r="D642" t="s">
        <v>884</v>
      </c>
      <c r="E642" t="str">
        <f t="shared" si="48"/>
        <v xml:space="preserve">    644 : "snow",</v>
      </c>
      <c r="F642">
        <f t="shared" si="49"/>
        <v>644</v>
      </c>
      <c r="G642">
        <f t="shared" si="52"/>
        <v>643</v>
      </c>
      <c r="H642" t="s">
        <v>1744</v>
      </c>
      <c r="I642" t="str">
        <f t="shared" si="50"/>
        <v xml:space="preserve">    643 : "Lufia-VRNocturne-Lufia",</v>
      </c>
    </row>
    <row r="643" spans="3:9">
      <c r="C643">
        <f t="shared" si="51"/>
        <v>645</v>
      </c>
      <c r="D643" t="s">
        <v>885</v>
      </c>
      <c r="E643" t="str">
        <f t="shared" si="48"/>
        <v xml:space="preserve">    645 : "soeboy",</v>
      </c>
      <c r="F643">
        <f t="shared" si="49"/>
        <v>645</v>
      </c>
      <c r="G643">
        <f t="shared" si="52"/>
        <v>644</v>
      </c>
      <c r="H643" t="s">
        <v>1745</v>
      </c>
      <c r="I643" t="str">
        <f t="shared" si="50"/>
        <v xml:space="preserve">    644 : "Luigi-Halkel-Mario",</v>
      </c>
    </row>
    <row r="644" spans="3:9">
      <c r="C644">
        <f t="shared" si="51"/>
        <v>646</v>
      </c>
      <c r="D644" t="s">
        <v>886</v>
      </c>
      <c r="E644" t="str">
        <f t="shared" si="48"/>
        <v xml:space="preserve">    646 : "soepoodle",</v>
      </c>
      <c r="F644">
        <f t="shared" si="49"/>
        <v>646</v>
      </c>
      <c r="G644">
        <f t="shared" si="52"/>
        <v>645</v>
      </c>
      <c r="H644" t="s">
        <v>1717</v>
      </c>
      <c r="I644" t="str">
        <f t="shared" si="50"/>
        <v xml:space="preserve">    645 : "Maduin-PocoLoco-FF6",</v>
      </c>
    </row>
    <row r="645" spans="3:9">
      <c r="C645">
        <f t="shared" si="51"/>
        <v>647</v>
      </c>
      <c r="D645" t="s">
        <v>887</v>
      </c>
      <c r="E645" t="str">
        <f t="shared" si="48"/>
        <v xml:space="preserve">    647 : "soewolfdog",</v>
      </c>
      <c r="F645">
        <f t="shared" si="49"/>
        <v>647</v>
      </c>
      <c r="G645">
        <f t="shared" si="52"/>
        <v>646</v>
      </c>
      <c r="H645" t="s">
        <v>1746</v>
      </c>
      <c r="I645" t="str">
        <f t="shared" si="50"/>
        <v xml:space="preserve">    646 : "Mario-Halkel-Mario",</v>
      </c>
    </row>
    <row r="646" spans="3:9">
      <c r="C646">
        <f t="shared" si="51"/>
        <v>648</v>
      </c>
      <c r="D646" t="s">
        <v>888</v>
      </c>
      <c r="E646" t="str">
        <f t="shared" si="48"/>
        <v xml:space="preserve">    648 : "soldier9",</v>
      </c>
      <c r="F646">
        <f t="shared" si="49"/>
        <v>648</v>
      </c>
      <c r="G646">
        <f t="shared" si="52"/>
        <v>647</v>
      </c>
      <c r="H646" t="s">
        <v>1719</v>
      </c>
      <c r="I646" t="str">
        <f t="shared" si="50"/>
        <v xml:space="preserve">    647 : "NarsheGuard-PocoLoco-FF6",</v>
      </c>
    </row>
    <row r="647" spans="3:9">
      <c r="C647">
        <f t="shared" si="51"/>
        <v>649</v>
      </c>
      <c r="D647" t="s">
        <v>889</v>
      </c>
      <c r="E647" t="str">
        <f t="shared" si="48"/>
        <v xml:space="preserve">    649 : "sonic",</v>
      </c>
      <c r="F647">
        <f t="shared" si="49"/>
        <v>649</v>
      </c>
      <c r="G647">
        <f t="shared" si="52"/>
        <v>648</v>
      </c>
      <c r="H647" t="s">
        <v>1720</v>
      </c>
      <c r="I647" t="str">
        <f t="shared" si="50"/>
        <v xml:space="preserve">    648 : "Peach-Halkel-SMRPG",</v>
      </c>
    </row>
    <row r="648" spans="3:9">
      <c r="C648">
        <f t="shared" si="51"/>
        <v>650</v>
      </c>
      <c r="D648" t="s">
        <v>890</v>
      </c>
      <c r="E648" t="str">
        <f t="shared" ref="E648:E711" si="53">"    "&amp;C648&amp;" : """&amp;D648&amp;""","</f>
        <v xml:space="preserve">    650 : "sora",</v>
      </c>
      <c r="F648">
        <f t="shared" si="49"/>
        <v>650</v>
      </c>
      <c r="G648">
        <f t="shared" si="52"/>
        <v>649</v>
      </c>
      <c r="H648" t="s">
        <v>1747</v>
      </c>
      <c r="I648" t="str">
        <f t="shared" si="50"/>
        <v xml:space="preserve">    649 : "Returner-JamesWhite89-FF6",</v>
      </c>
    </row>
    <row r="649" spans="3:9">
      <c r="C649">
        <f t="shared" si="51"/>
        <v>651</v>
      </c>
      <c r="D649" t="s">
        <v>891</v>
      </c>
      <c r="E649" t="str">
        <f t="shared" si="53"/>
        <v xml:space="preserve">    651 : "spawn",</v>
      </c>
      <c r="F649">
        <f t="shared" si="49"/>
        <v>651</v>
      </c>
      <c r="G649">
        <f t="shared" si="52"/>
        <v>650</v>
      </c>
      <c r="H649" t="s">
        <v>1748</v>
      </c>
      <c r="I649" t="str">
        <f t="shared" si="50"/>
        <v xml:space="preserve">    650 : "Rubicante-CtrlxZ-FF4",</v>
      </c>
    </row>
    <row r="650" spans="3:9">
      <c r="C650">
        <f t="shared" si="51"/>
        <v>652</v>
      </c>
      <c r="D650" t="s">
        <v>892</v>
      </c>
      <c r="E650" t="str">
        <f t="shared" si="53"/>
        <v xml:space="preserve">    652 : "spiderman",</v>
      </c>
      <c r="F650">
        <f t="shared" si="49"/>
        <v>652</v>
      </c>
      <c r="G650">
        <f t="shared" si="52"/>
        <v>651</v>
      </c>
      <c r="H650" t="s">
        <v>1723</v>
      </c>
      <c r="I650" t="str">
        <f t="shared" si="50"/>
        <v xml:space="preserve">    651 : "Scholar-PocoLoco-FF6",</v>
      </c>
    </row>
    <row r="651" spans="3:9">
      <c r="C651">
        <f t="shared" si="51"/>
        <v>653</v>
      </c>
      <c r="D651" t="s">
        <v>893</v>
      </c>
      <c r="E651" t="str">
        <f t="shared" si="53"/>
        <v xml:space="preserve">    653 : "squall-uniform",</v>
      </c>
      <c r="F651">
        <f t="shared" si="49"/>
        <v>653</v>
      </c>
      <c r="G651">
        <f t="shared" si="52"/>
        <v>652</v>
      </c>
      <c r="H651" t="s">
        <v>1749</v>
      </c>
      <c r="I651" t="str">
        <f t="shared" si="50"/>
        <v xml:space="preserve">    652 : "Seifer-xeblon-FF8",</v>
      </c>
    </row>
    <row r="652" spans="3:9">
      <c r="C652">
        <f t="shared" si="51"/>
        <v>654</v>
      </c>
      <c r="D652" t="s">
        <v>894</v>
      </c>
      <c r="E652" t="str">
        <f t="shared" si="53"/>
        <v xml:space="preserve">    654 : "squall",</v>
      </c>
      <c r="F652">
        <f t="shared" si="49"/>
        <v>654</v>
      </c>
      <c r="G652">
        <f t="shared" si="52"/>
        <v>653</v>
      </c>
      <c r="H652" t="s">
        <v>1725</v>
      </c>
      <c r="I652" t="str">
        <f t="shared" si="50"/>
        <v xml:space="preserve">    653 : "Siegfried-PocoLoco-FF6",</v>
      </c>
    </row>
    <row r="653" spans="3:9">
      <c r="C653">
        <f t="shared" si="51"/>
        <v>655</v>
      </c>
      <c r="D653" t="s">
        <v>895</v>
      </c>
      <c r="E653" t="str">
        <f t="shared" si="53"/>
        <v xml:space="preserve">    655 : "squire",</v>
      </c>
      <c r="F653">
        <f t="shared" si="49"/>
        <v>655</v>
      </c>
      <c r="G653">
        <f t="shared" si="52"/>
        <v>654</v>
      </c>
      <c r="H653" t="s">
        <v>1726</v>
      </c>
      <c r="I653" t="str">
        <f t="shared" si="50"/>
        <v xml:space="preserve">    654 : "Slash-Badass-CT",</v>
      </c>
    </row>
    <row r="654" spans="3:9">
      <c r="C654">
        <f t="shared" si="51"/>
        <v>656</v>
      </c>
      <c r="D654" t="s">
        <v>896</v>
      </c>
      <c r="E654" t="str">
        <f t="shared" si="53"/>
        <v xml:space="preserve">    656 : "stalfos",</v>
      </c>
      <c r="F654">
        <f t="shared" si="49"/>
        <v>656</v>
      </c>
      <c r="G654">
        <f t="shared" si="52"/>
        <v>655</v>
      </c>
      <c r="H654" t="s">
        <v>1727</v>
      </c>
      <c r="I654" t="str">
        <f t="shared" si="50"/>
        <v xml:space="preserve">    655 : "Sonic-Badass-Sonic",</v>
      </c>
    </row>
    <row r="655" spans="3:9">
      <c r="C655">
        <f t="shared" si="51"/>
        <v>657</v>
      </c>
      <c r="D655" t="s">
        <v>897</v>
      </c>
      <c r="E655" t="str">
        <f t="shared" si="53"/>
        <v xml:space="preserve">    657 : "starfox",</v>
      </c>
      <c r="F655">
        <f t="shared" si="49"/>
        <v>657</v>
      </c>
      <c r="G655">
        <f t="shared" si="52"/>
        <v>656</v>
      </c>
      <c r="H655" t="s">
        <v>1728</v>
      </c>
      <c r="I655" t="str">
        <f t="shared" si="50"/>
        <v xml:space="preserve">    656 : "Squall (Uniform)-SApprentice-FF8",</v>
      </c>
    </row>
    <row r="656" spans="3:9">
      <c r="C656">
        <f t="shared" si="51"/>
        <v>658</v>
      </c>
      <c r="D656" t="s">
        <v>898</v>
      </c>
      <c r="E656" t="str">
        <f t="shared" si="53"/>
        <v xml:space="preserve">    658 : "starwolf",</v>
      </c>
      <c r="F656">
        <f t="shared" si="49"/>
        <v>658</v>
      </c>
      <c r="G656">
        <f t="shared" si="52"/>
        <v>657</v>
      </c>
      <c r="H656" t="s">
        <v>1750</v>
      </c>
      <c r="I656" t="str">
        <f t="shared" si="50"/>
        <v xml:space="preserve">    657 : "Squall-JamesWhite89-FF8",</v>
      </c>
    </row>
    <row r="657" spans="3:9">
      <c r="C657">
        <f t="shared" si="51"/>
        <v>659</v>
      </c>
      <c r="D657" t="s">
        <v>899</v>
      </c>
      <c r="E657" t="str">
        <f t="shared" si="53"/>
        <v xml:space="preserve">    659 : "steiner",</v>
      </c>
      <c r="F657">
        <f t="shared" si="49"/>
        <v>659</v>
      </c>
      <c r="G657">
        <f t="shared" si="52"/>
        <v>658</v>
      </c>
      <c r="H657" t="s">
        <v>1751</v>
      </c>
      <c r="I657" t="str">
        <f t="shared" si="50"/>
        <v xml:space="preserve">    658 : "Tifa-JamesWhite89-FF7",</v>
      </c>
    </row>
    <row r="658" spans="3:9">
      <c r="C658">
        <f t="shared" si="51"/>
        <v>660</v>
      </c>
      <c r="D658" t="s">
        <v>900</v>
      </c>
      <c r="E658" t="str">
        <f t="shared" si="53"/>
        <v xml:space="preserve">    660 : "stiltzkin",</v>
      </c>
      <c r="F658">
        <f t="shared" si="49"/>
        <v>660</v>
      </c>
      <c r="G658">
        <f t="shared" si="52"/>
        <v>659</v>
      </c>
      <c r="H658" t="s">
        <v>1752</v>
      </c>
      <c r="I658" t="str">
        <f t="shared" si="50"/>
        <v xml:space="preserve">    659 : "Train Conductor-Mascot1063-FF6",</v>
      </c>
    </row>
    <row r="659" spans="3:9">
      <c r="C659">
        <f t="shared" si="51"/>
        <v>661</v>
      </c>
      <c r="D659" t="s">
        <v>901</v>
      </c>
      <c r="E659" t="str">
        <f t="shared" si="53"/>
        <v xml:space="preserve">    661 : "strago-blackmage",</v>
      </c>
      <c r="F659">
        <f t="shared" si="49"/>
        <v>661</v>
      </c>
      <c r="G659">
        <f t="shared" si="52"/>
        <v>660</v>
      </c>
      <c r="H659" t="s">
        <v>1732</v>
      </c>
      <c r="I659" t="str">
        <f t="shared" si="50"/>
        <v xml:space="preserve">    660 : "Vargas-PocoLoco-FF6",</v>
      </c>
    </row>
    <row r="660" spans="3:9">
      <c r="C660">
        <f t="shared" si="51"/>
        <v>662</v>
      </c>
      <c r="D660" t="s">
        <v>902</v>
      </c>
      <c r="E660" t="str">
        <f t="shared" si="53"/>
        <v xml:space="preserve">    662 : "strago-cid",</v>
      </c>
      <c r="F660">
        <f t="shared" si="49"/>
        <v>662</v>
      </c>
      <c r="G660">
        <f t="shared" si="52"/>
        <v>661</v>
      </c>
      <c r="H660" t="s">
        <v>1753</v>
      </c>
      <c r="I660" t="str">
        <f t="shared" si="50"/>
        <v xml:space="preserve">    661 : "Vincent-Twinees-FF7",</v>
      </c>
    </row>
    <row r="661" spans="3:9">
      <c r="C661">
        <f t="shared" si="51"/>
        <v>663</v>
      </c>
      <c r="D661" t="s">
        <v>903</v>
      </c>
      <c r="E661" t="str">
        <f t="shared" si="53"/>
        <v xml:space="preserve">    663 : "strago-fusoya",</v>
      </c>
      <c r="F661">
        <f t="shared" si="49"/>
        <v>663</v>
      </c>
      <c r="G661">
        <f t="shared" si="52"/>
        <v>662</v>
      </c>
      <c r="H661" t="s">
        <v>1734</v>
      </c>
      <c r="I661" t="str">
        <f t="shared" si="50"/>
        <v xml:space="preserve">    662 : "Yoshi-Badass-Mario",</v>
      </c>
    </row>
    <row r="662" spans="3:9">
      <c r="C662">
        <f t="shared" si="51"/>
        <v>664</v>
      </c>
      <c r="D662" t="s">
        <v>904</v>
      </c>
      <c r="E662" t="str">
        <f t="shared" si="53"/>
        <v xml:space="preserve">    664 : "strago-t",</v>
      </c>
      <c r="F662">
        <f t="shared" si="49"/>
        <v>664</v>
      </c>
      <c r="G662">
        <f t="shared" si="52"/>
        <v>663</v>
      </c>
      <c r="H662" t="s">
        <v>1753</v>
      </c>
      <c r="I662" t="str">
        <f t="shared" si="50"/>
        <v xml:space="preserve">    663 : "Vincent-Twinees-FF7",</v>
      </c>
    </row>
    <row r="663" spans="3:9">
      <c r="C663">
        <f t="shared" si="51"/>
        <v>665</v>
      </c>
      <c r="D663" t="s">
        <v>905</v>
      </c>
      <c r="E663" t="str">
        <f t="shared" si="53"/>
        <v xml:space="preserve">    665 : "strago-tellah",</v>
      </c>
      <c r="F663">
        <f t="shared" si="49"/>
        <v>665</v>
      </c>
      <c r="G663">
        <f t="shared" si="52"/>
        <v>664</v>
      </c>
      <c r="H663" t="s">
        <v>1734</v>
      </c>
      <c r="I663" t="str">
        <f t="shared" si="50"/>
        <v xml:space="preserve">    664 : "Yoshi-Badass-Mario",</v>
      </c>
    </row>
    <row r="664" spans="3:9">
      <c r="C664">
        <f t="shared" si="51"/>
        <v>666</v>
      </c>
      <c r="D664" t="s">
        <v>906</v>
      </c>
      <c r="E664" t="str">
        <f t="shared" si="53"/>
        <v xml:space="preserve">    666 : "superbuu",</v>
      </c>
      <c r="F664">
        <f t="shared" si="49"/>
        <v>666</v>
      </c>
    </row>
    <row r="665" spans="3:9">
      <c r="C665">
        <f t="shared" si="51"/>
        <v>667</v>
      </c>
      <c r="D665" t="s">
        <v>907</v>
      </c>
      <c r="E665" t="str">
        <f t="shared" si="53"/>
        <v xml:space="preserve">    667 : "t260g",</v>
      </c>
      <c r="F665">
        <f t="shared" si="49"/>
        <v>667</v>
      </c>
    </row>
    <row r="666" spans="3:9">
      <c r="C666">
        <f t="shared" si="51"/>
        <v>668</v>
      </c>
      <c r="D666" t="s">
        <v>908</v>
      </c>
      <c r="E666" t="str">
        <f t="shared" si="53"/>
        <v xml:space="preserve">    668 : "tails",</v>
      </c>
      <c r="F666">
        <f t="shared" si="49"/>
        <v>668</v>
      </c>
    </row>
    <row r="667" spans="3:9">
      <c r="C667">
        <f t="shared" si="51"/>
        <v>669</v>
      </c>
      <c r="D667" t="s">
        <v>909</v>
      </c>
      <c r="E667" t="str">
        <f t="shared" si="53"/>
        <v xml:space="preserve">    669 : "talim",</v>
      </c>
      <c r="F667">
        <f t="shared" si="49"/>
        <v>669</v>
      </c>
    </row>
    <row r="668" spans="3:9">
      <c r="C668">
        <f t="shared" si="51"/>
        <v>670</v>
      </c>
      <c r="D668" t="s">
        <v>910</v>
      </c>
      <c r="E668" t="str">
        <f t="shared" si="53"/>
        <v xml:space="preserve">    670 : "teddie",</v>
      </c>
      <c r="F668">
        <f t="shared" si="49"/>
        <v>670</v>
      </c>
    </row>
    <row r="669" spans="3:9">
      <c r="C669">
        <f t="shared" si="51"/>
        <v>671</v>
      </c>
      <c r="D669" t="s">
        <v>911</v>
      </c>
      <c r="E669" t="str">
        <f t="shared" si="53"/>
        <v xml:space="preserve">    671 : "tellah",</v>
      </c>
      <c r="F669">
        <f t="shared" si="49"/>
        <v>671</v>
      </c>
    </row>
    <row r="670" spans="3:9">
      <c r="C670">
        <f t="shared" si="51"/>
        <v>672</v>
      </c>
      <c r="D670" t="s">
        <v>912</v>
      </c>
      <c r="E670" t="str">
        <f t="shared" si="53"/>
        <v xml:space="preserve">    672 : "terra-amano",</v>
      </c>
      <c r="F670">
        <f t="shared" si="49"/>
        <v>672</v>
      </c>
    </row>
    <row r="671" spans="3:9">
      <c r="C671">
        <f t="shared" si="51"/>
        <v>673</v>
      </c>
      <c r="D671" t="s">
        <v>913</v>
      </c>
      <c r="E671" t="str">
        <f t="shared" si="53"/>
        <v xml:space="preserve">    673 : "terra-child",</v>
      </c>
      <c r="F671">
        <f t="shared" si="49"/>
        <v>673</v>
      </c>
    </row>
    <row r="672" spans="3:9">
      <c r="C672">
        <f t="shared" si="51"/>
        <v>674</v>
      </c>
      <c r="D672" t="s">
        <v>914</v>
      </c>
      <c r="E672" t="str">
        <f t="shared" si="53"/>
        <v xml:space="preserve">    674 : "terra-dress",</v>
      </c>
      <c r="F672">
        <f t="shared" ref="F672:F735" si="54">C672</f>
        <v>674</v>
      </c>
    </row>
    <row r="673" spans="3:6">
      <c r="C673">
        <f t="shared" ref="C673:C736" si="55">C672+1</f>
        <v>675</v>
      </c>
      <c r="D673" t="s">
        <v>915</v>
      </c>
      <c r="E673" t="str">
        <f t="shared" si="53"/>
        <v xml:space="preserve">    675 : "terra-rydia",</v>
      </c>
      <c r="F673">
        <f t="shared" si="54"/>
        <v>675</v>
      </c>
    </row>
    <row r="674" spans="3:6">
      <c r="C674">
        <f t="shared" si="55"/>
        <v>676</v>
      </c>
      <c r="D674" t="s">
        <v>916</v>
      </c>
      <c r="E674" t="str">
        <f t="shared" si="53"/>
        <v xml:space="preserve">    676 : "teta",</v>
      </c>
      <c r="F674">
        <f t="shared" si="54"/>
        <v>676</v>
      </c>
    </row>
    <row r="675" spans="3:6">
      <c r="C675">
        <f t="shared" si="55"/>
        <v>677</v>
      </c>
      <c r="D675" t="s">
        <v>917</v>
      </c>
      <c r="E675" t="str">
        <f t="shared" si="53"/>
        <v xml:space="preserve">    677 : "thief-ff1",</v>
      </c>
      <c r="F675">
        <f t="shared" si="54"/>
        <v>677</v>
      </c>
    </row>
    <row r="676" spans="3:6">
      <c r="C676">
        <f t="shared" si="55"/>
        <v>678</v>
      </c>
      <c r="D676" t="s">
        <v>918</v>
      </c>
      <c r="E676" t="str">
        <f t="shared" si="53"/>
        <v xml:space="preserve">    678 : "thieffft",</v>
      </c>
      <c r="F676">
        <f t="shared" si="54"/>
        <v>678</v>
      </c>
    </row>
    <row r="677" spans="3:6">
      <c r="C677">
        <f t="shared" si="55"/>
        <v>679</v>
      </c>
      <c r="D677" t="s">
        <v>919</v>
      </c>
      <c r="E677" t="str">
        <f t="shared" si="53"/>
        <v xml:space="preserve">    679 : "tiamat",</v>
      </c>
      <c r="F677">
        <f t="shared" si="54"/>
        <v>679</v>
      </c>
    </row>
    <row r="678" spans="3:6">
      <c r="C678">
        <f t="shared" si="55"/>
        <v>680</v>
      </c>
      <c r="D678" t="s">
        <v>920</v>
      </c>
      <c r="E678" t="str">
        <f t="shared" si="53"/>
        <v xml:space="preserve">    680 : "tidus",</v>
      </c>
      <c r="F678">
        <f t="shared" si="54"/>
        <v>680</v>
      </c>
    </row>
    <row r="679" spans="3:6">
      <c r="C679">
        <f t="shared" si="55"/>
        <v>681</v>
      </c>
      <c r="D679" t="s">
        <v>921</v>
      </c>
      <c r="E679" t="str">
        <f t="shared" si="53"/>
        <v xml:space="preserve">    681 : "tifa-child",</v>
      </c>
      <c r="F679">
        <f t="shared" si="54"/>
        <v>681</v>
      </c>
    </row>
    <row r="680" spans="3:6">
      <c r="C680">
        <f t="shared" si="55"/>
        <v>682</v>
      </c>
      <c r="D680" t="s">
        <v>922</v>
      </c>
      <c r="E680" t="str">
        <f t="shared" si="53"/>
        <v xml:space="preserve">    682 : "tifa-cowgirl",</v>
      </c>
      <c r="F680">
        <f t="shared" si="54"/>
        <v>682</v>
      </c>
    </row>
    <row r="681" spans="3:6">
      <c r="C681">
        <f t="shared" si="55"/>
        <v>683</v>
      </c>
      <c r="D681" t="s">
        <v>923</v>
      </c>
      <c r="E681" t="str">
        <f t="shared" si="53"/>
        <v xml:space="preserve">    683 : "tifa-dress",</v>
      </c>
      <c r="F681">
        <f t="shared" si="54"/>
        <v>683</v>
      </c>
    </row>
    <row r="682" spans="3:6">
      <c r="C682">
        <f t="shared" si="55"/>
        <v>684</v>
      </c>
      <c r="D682" t="s">
        <v>924</v>
      </c>
      <c r="E682" t="str">
        <f t="shared" si="53"/>
        <v xml:space="preserve">    684 : "tifa",</v>
      </c>
      <c r="F682">
        <f t="shared" si="54"/>
        <v>684</v>
      </c>
    </row>
    <row r="683" spans="3:6">
      <c r="C683">
        <f t="shared" si="55"/>
        <v>685</v>
      </c>
      <c r="D683" t="s">
        <v>925</v>
      </c>
      <c r="E683" t="str">
        <f t="shared" si="53"/>
        <v xml:space="preserve">    685 : "tina",</v>
      </c>
      <c r="F683">
        <f t="shared" si="54"/>
        <v>685</v>
      </c>
    </row>
    <row r="684" spans="3:6">
      <c r="C684">
        <f t="shared" si="55"/>
        <v>686</v>
      </c>
      <c r="D684" t="s">
        <v>926</v>
      </c>
      <c r="E684" t="str">
        <f t="shared" si="53"/>
        <v xml:space="preserve">    686 : "tingle",</v>
      </c>
      <c r="F684">
        <f t="shared" si="54"/>
        <v>686</v>
      </c>
    </row>
    <row r="685" spans="3:6">
      <c r="C685">
        <f t="shared" si="55"/>
        <v>687</v>
      </c>
      <c r="D685" t="s">
        <v>927</v>
      </c>
      <c r="E685" t="str">
        <f t="shared" si="53"/>
        <v xml:space="preserve">    687 : "tinymoogle",</v>
      </c>
      <c r="F685">
        <f t="shared" si="54"/>
        <v>687</v>
      </c>
    </row>
    <row r="686" spans="3:6">
      <c r="C686">
        <f t="shared" si="55"/>
        <v>688</v>
      </c>
      <c r="D686" t="s">
        <v>928</v>
      </c>
      <c r="E686" t="str">
        <f t="shared" si="53"/>
        <v xml:space="preserve">    688 : "toadette",</v>
      </c>
      <c r="F686">
        <f t="shared" si="54"/>
        <v>688</v>
      </c>
    </row>
    <row r="687" spans="3:6">
      <c r="C687">
        <f t="shared" si="55"/>
        <v>689</v>
      </c>
      <c r="D687" t="s">
        <v>929</v>
      </c>
      <c r="E687" t="str">
        <f t="shared" si="53"/>
        <v xml:space="preserve">    689 : "tobi",</v>
      </c>
      <c r="F687">
        <f t="shared" si="54"/>
        <v>689</v>
      </c>
    </row>
    <row r="688" spans="3:6">
      <c r="C688">
        <f t="shared" si="55"/>
        <v>690</v>
      </c>
      <c r="D688" t="s">
        <v>930</v>
      </c>
      <c r="E688" t="str">
        <f t="shared" si="53"/>
        <v xml:space="preserve">    690 : "tohka",</v>
      </c>
      <c r="F688">
        <f t="shared" si="54"/>
        <v>690</v>
      </c>
    </row>
    <row r="689" spans="3:6">
      <c r="C689">
        <f t="shared" si="55"/>
        <v>691</v>
      </c>
      <c r="D689" t="s">
        <v>931</v>
      </c>
      <c r="E689" t="str">
        <f t="shared" si="53"/>
        <v xml:space="preserve">    691 : "tombstone",</v>
      </c>
      <c r="F689">
        <f t="shared" si="54"/>
        <v>691</v>
      </c>
    </row>
    <row r="690" spans="3:6">
      <c r="C690">
        <f t="shared" si="55"/>
        <v>692</v>
      </c>
      <c r="D690" t="s">
        <v>932</v>
      </c>
      <c r="E690" t="str">
        <f t="shared" si="53"/>
        <v xml:space="preserve">    692 : "tonberry",</v>
      </c>
      <c r="F690">
        <f t="shared" si="54"/>
        <v>692</v>
      </c>
    </row>
    <row r="691" spans="3:6">
      <c r="C691">
        <f t="shared" si="55"/>
        <v>693</v>
      </c>
      <c r="D691" t="s">
        <v>933</v>
      </c>
      <c r="E691" t="str">
        <f t="shared" si="53"/>
        <v xml:space="preserve">    693 : "tonberryking",</v>
      </c>
      <c r="F691">
        <f t="shared" si="54"/>
        <v>693</v>
      </c>
    </row>
    <row r="692" spans="3:6">
      <c r="C692">
        <f t="shared" si="55"/>
        <v>694</v>
      </c>
      <c r="D692" t="s">
        <v>934</v>
      </c>
      <c r="E692" t="str">
        <f t="shared" si="53"/>
        <v xml:space="preserve">    694 : "toriel",</v>
      </c>
      <c r="F692">
        <f t="shared" si="54"/>
        <v>694</v>
      </c>
    </row>
    <row r="693" spans="3:6">
      <c r="C693">
        <f t="shared" si="55"/>
        <v>695</v>
      </c>
      <c r="D693" t="s">
        <v>935</v>
      </c>
      <c r="E693" t="str">
        <f t="shared" si="53"/>
        <v xml:space="preserve">    695 : "trainconductor",</v>
      </c>
      <c r="F693">
        <f t="shared" si="54"/>
        <v>695</v>
      </c>
    </row>
    <row r="694" spans="3:6">
      <c r="C694">
        <f t="shared" si="55"/>
        <v>696</v>
      </c>
      <c r="D694" t="s">
        <v>936</v>
      </c>
      <c r="E694" t="str">
        <f t="shared" si="53"/>
        <v xml:space="preserve">    696 : "treasurechest",</v>
      </c>
      <c r="F694">
        <f t="shared" si="54"/>
        <v>696</v>
      </c>
    </row>
    <row r="695" spans="3:6">
      <c r="C695">
        <f t="shared" si="55"/>
        <v>697</v>
      </c>
      <c r="D695" t="s">
        <v>937</v>
      </c>
      <c r="E695" t="str">
        <f t="shared" si="53"/>
        <v xml:space="preserve">    697 : "tree",</v>
      </c>
      <c r="F695">
        <f t="shared" si="54"/>
        <v>697</v>
      </c>
    </row>
    <row r="696" spans="3:6">
      <c r="C696">
        <f t="shared" si="55"/>
        <v>698</v>
      </c>
      <c r="D696" t="s">
        <v>938</v>
      </c>
      <c r="E696" t="str">
        <f t="shared" si="53"/>
        <v xml:space="preserve">    698 : "turtle",</v>
      </c>
      <c r="F696">
        <f t="shared" si="54"/>
        <v>698</v>
      </c>
    </row>
    <row r="697" spans="3:6">
      <c r="C697">
        <f t="shared" si="55"/>
        <v>699</v>
      </c>
      <c r="D697" t="s">
        <v>939</v>
      </c>
      <c r="E697" t="str">
        <f t="shared" si="53"/>
        <v xml:space="preserve">    699 : "tyro",</v>
      </c>
      <c r="F697">
        <f t="shared" si="54"/>
        <v>699</v>
      </c>
    </row>
    <row r="698" spans="3:6">
      <c r="C698">
        <f t="shared" si="55"/>
        <v>700</v>
      </c>
      <c r="D698" t="s">
        <v>940</v>
      </c>
      <c r="E698" t="str">
        <f t="shared" si="53"/>
        <v xml:space="preserve">    700 : "ultros",</v>
      </c>
      <c r="F698">
        <f t="shared" si="54"/>
        <v>700</v>
      </c>
    </row>
    <row r="699" spans="3:6">
      <c r="C699">
        <f t="shared" si="55"/>
        <v>701</v>
      </c>
      <c r="D699" t="s">
        <v>941</v>
      </c>
      <c r="E699" t="str">
        <f t="shared" si="53"/>
        <v xml:space="preserve">    701 : "umaro-banon",</v>
      </c>
      <c r="F699">
        <f t="shared" si="54"/>
        <v>701</v>
      </c>
    </row>
    <row r="700" spans="3:6">
      <c r="C700">
        <f t="shared" si="55"/>
        <v>702</v>
      </c>
      <c r="D700" t="s">
        <v>942</v>
      </c>
      <c r="E700" t="str">
        <f t="shared" si="53"/>
        <v xml:space="preserve">    702 : "umaro-kimahri",</v>
      </c>
      <c r="F700">
        <f t="shared" si="54"/>
        <v>702</v>
      </c>
    </row>
    <row r="701" spans="3:6">
      <c r="C701">
        <f t="shared" si="55"/>
        <v>703</v>
      </c>
      <c r="D701" t="s">
        <v>943</v>
      </c>
      <c r="E701" t="str">
        <f t="shared" si="53"/>
        <v xml:space="preserve">    703 : "uni",</v>
      </c>
      <c r="F701">
        <f t="shared" si="54"/>
        <v>703</v>
      </c>
    </row>
    <row r="702" spans="3:6">
      <c r="C702">
        <f t="shared" si="55"/>
        <v>704</v>
      </c>
      <c r="D702" t="s">
        <v>944</v>
      </c>
      <c r="E702" t="str">
        <f t="shared" si="53"/>
        <v xml:space="preserve">    704 : "ursula",</v>
      </c>
      <c r="F702">
        <f t="shared" si="54"/>
        <v>704</v>
      </c>
    </row>
    <row r="703" spans="3:6">
      <c r="C703">
        <f t="shared" si="55"/>
        <v>705</v>
      </c>
      <c r="D703" t="s">
        <v>945</v>
      </c>
      <c r="E703" t="str">
        <f t="shared" si="53"/>
        <v xml:space="preserve">    705 : "vaan",</v>
      </c>
      <c r="F703">
        <f t="shared" si="54"/>
        <v>705</v>
      </c>
    </row>
    <row r="704" spans="3:6">
      <c r="C704">
        <f t="shared" si="55"/>
        <v>706</v>
      </c>
      <c r="D704" t="s">
        <v>946</v>
      </c>
      <c r="E704" t="str">
        <f t="shared" si="53"/>
        <v xml:space="preserve">    706 : "vader",</v>
      </c>
      <c r="F704">
        <f t="shared" si="54"/>
        <v>706</v>
      </c>
    </row>
    <row r="705" spans="3:6">
      <c r="C705">
        <f t="shared" si="55"/>
        <v>707</v>
      </c>
      <c r="D705" t="s">
        <v>947</v>
      </c>
      <c r="E705" t="str">
        <f t="shared" si="53"/>
        <v xml:space="preserve">    707 : "valkyrie",</v>
      </c>
      <c r="F705">
        <f t="shared" si="54"/>
        <v>707</v>
      </c>
    </row>
    <row r="706" spans="3:6">
      <c r="C706">
        <f t="shared" si="55"/>
        <v>708</v>
      </c>
      <c r="D706" t="s">
        <v>948</v>
      </c>
      <c r="E706" t="str">
        <f t="shared" si="53"/>
        <v xml:space="preserve">    708 : "van",</v>
      </c>
      <c r="F706">
        <f t="shared" si="54"/>
        <v>708</v>
      </c>
    </row>
    <row r="707" spans="3:6">
      <c r="C707">
        <f t="shared" si="55"/>
        <v>709</v>
      </c>
      <c r="D707" t="s">
        <v>949</v>
      </c>
      <c r="E707" t="str">
        <f t="shared" si="53"/>
        <v xml:space="preserve">    709 : "vanille",</v>
      </c>
      <c r="F707">
        <f t="shared" si="54"/>
        <v>709</v>
      </c>
    </row>
    <row r="708" spans="3:6">
      <c r="C708">
        <f t="shared" si="55"/>
        <v>710</v>
      </c>
      <c r="D708" t="s">
        <v>950</v>
      </c>
      <c r="E708" t="str">
        <f t="shared" si="53"/>
        <v xml:space="preserve">    710 : "vargas",</v>
      </c>
      <c r="F708">
        <f t="shared" si="54"/>
        <v>710</v>
      </c>
    </row>
    <row r="709" spans="3:6">
      <c r="C709">
        <f t="shared" si="55"/>
        <v>711</v>
      </c>
      <c r="D709" t="s">
        <v>951</v>
      </c>
      <c r="E709" t="str">
        <f t="shared" si="53"/>
        <v xml:space="preserve">    711 : "vayne",</v>
      </c>
      <c r="F709">
        <f t="shared" si="54"/>
        <v>711</v>
      </c>
    </row>
    <row r="710" spans="3:6">
      <c r="C710">
        <f t="shared" si="55"/>
        <v>712</v>
      </c>
      <c r="D710" t="s">
        <v>952</v>
      </c>
      <c r="E710" t="str">
        <f t="shared" si="53"/>
        <v xml:space="preserve">    712 : "vert",</v>
      </c>
      <c r="F710">
        <f t="shared" si="54"/>
        <v>712</v>
      </c>
    </row>
    <row r="711" spans="3:6">
      <c r="C711">
        <f t="shared" si="55"/>
        <v>713</v>
      </c>
      <c r="D711" t="s">
        <v>953</v>
      </c>
      <c r="E711" t="str">
        <f t="shared" si="53"/>
        <v xml:space="preserve">    713 : "vincent",</v>
      </c>
      <c r="F711">
        <f t="shared" si="54"/>
        <v>713</v>
      </c>
    </row>
    <row r="712" spans="3:6">
      <c r="C712">
        <f t="shared" si="55"/>
        <v>714</v>
      </c>
      <c r="D712" t="s">
        <v>954</v>
      </c>
      <c r="E712" t="str">
        <f t="shared" ref="E712:E775" si="56">"    "&amp;C712&amp;" : """&amp;D712&amp;""","</f>
        <v xml:space="preserve">    714 : "vivi",</v>
      </c>
      <c r="F712">
        <f t="shared" si="54"/>
        <v>714</v>
      </c>
    </row>
    <row r="713" spans="3:6">
      <c r="C713">
        <f t="shared" si="55"/>
        <v>715</v>
      </c>
      <c r="D713" t="s">
        <v>955</v>
      </c>
      <c r="E713" t="str">
        <f t="shared" si="56"/>
        <v xml:space="preserve">    715 : "vomammoth",</v>
      </c>
      <c r="F713">
        <f t="shared" si="54"/>
        <v>715</v>
      </c>
    </row>
    <row r="714" spans="3:6">
      <c r="C714">
        <f t="shared" si="55"/>
        <v>716</v>
      </c>
      <c r="D714" t="s">
        <v>956</v>
      </c>
      <c r="E714" t="str">
        <f t="shared" si="56"/>
        <v xml:space="preserve">    716 : "vormav",</v>
      </c>
      <c r="F714">
        <f t="shared" si="54"/>
        <v>716</v>
      </c>
    </row>
    <row r="715" spans="3:6">
      <c r="C715">
        <f t="shared" si="55"/>
        <v>717</v>
      </c>
      <c r="D715" t="s">
        <v>957</v>
      </c>
      <c r="E715" t="str">
        <f t="shared" si="56"/>
        <v xml:space="preserve">    717 : "vossler-judge-helm",</v>
      </c>
      <c r="F715">
        <f t="shared" si="54"/>
        <v>717</v>
      </c>
    </row>
    <row r="716" spans="3:6">
      <c r="C716">
        <f t="shared" si="55"/>
        <v>718</v>
      </c>
      <c r="D716" t="s">
        <v>958</v>
      </c>
      <c r="E716" t="str">
        <f t="shared" si="56"/>
        <v xml:space="preserve">    718 : "vossler-judge",</v>
      </c>
      <c r="F716">
        <f t="shared" si="54"/>
        <v>718</v>
      </c>
    </row>
    <row r="717" spans="3:6">
      <c r="C717">
        <f t="shared" si="55"/>
        <v>719</v>
      </c>
      <c r="D717" t="s">
        <v>959</v>
      </c>
      <c r="E717" t="str">
        <f t="shared" si="56"/>
        <v xml:space="preserve">    719 : "wakka",</v>
      </c>
      <c r="F717">
        <f t="shared" si="54"/>
        <v>719</v>
      </c>
    </row>
    <row r="718" spans="3:6">
      <c r="C718">
        <f t="shared" si="55"/>
        <v>720</v>
      </c>
      <c r="D718" t="s">
        <v>960</v>
      </c>
      <c r="E718" t="str">
        <f t="shared" si="56"/>
        <v xml:space="preserve">    720 : "ward-soldier",</v>
      </c>
      <c r="F718">
        <f t="shared" si="54"/>
        <v>720</v>
      </c>
    </row>
    <row r="719" spans="3:6">
      <c r="C719">
        <f t="shared" si="55"/>
        <v>721</v>
      </c>
      <c r="D719" t="s">
        <v>961</v>
      </c>
      <c r="E719" t="str">
        <f t="shared" si="56"/>
        <v xml:space="preserve">    721 : "warrioroflight",</v>
      </c>
      <c r="F719">
        <f t="shared" si="54"/>
        <v>721</v>
      </c>
    </row>
    <row r="720" spans="3:6">
      <c r="C720">
        <f t="shared" si="55"/>
        <v>722</v>
      </c>
      <c r="D720" t="s">
        <v>962</v>
      </c>
      <c r="E720" t="str">
        <f t="shared" si="56"/>
        <v xml:space="preserve">    722 : "wedge7",</v>
      </c>
      <c r="F720">
        <f t="shared" si="54"/>
        <v>722</v>
      </c>
    </row>
    <row r="721" spans="3:6">
      <c r="C721">
        <f t="shared" si="55"/>
        <v>723</v>
      </c>
      <c r="D721" t="s">
        <v>963</v>
      </c>
      <c r="E721" t="str">
        <f t="shared" si="56"/>
        <v xml:space="preserve">    723 : "wedgerk",</v>
      </c>
      <c r="F721">
        <f t="shared" si="54"/>
        <v>723</v>
      </c>
    </row>
    <row r="722" spans="3:6">
      <c r="C722">
        <f t="shared" si="55"/>
        <v>724</v>
      </c>
      <c r="D722" t="s">
        <v>964</v>
      </c>
      <c r="E722" t="str">
        <f t="shared" si="56"/>
        <v xml:space="preserve">    724 : "whitemage-f",</v>
      </c>
      <c r="F722">
        <f t="shared" si="54"/>
        <v>724</v>
      </c>
    </row>
    <row r="723" spans="3:6">
      <c r="C723">
        <f t="shared" si="55"/>
        <v>725</v>
      </c>
      <c r="D723" t="s">
        <v>965</v>
      </c>
      <c r="E723" t="str">
        <f t="shared" si="56"/>
        <v xml:space="preserve">    725 : "whitemage",</v>
      </c>
      <c r="F723">
        <f t="shared" si="54"/>
        <v>725</v>
      </c>
    </row>
    <row r="724" spans="3:6">
      <c r="C724">
        <f t="shared" si="55"/>
        <v>726</v>
      </c>
      <c r="D724" t="s">
        <v>966</v>
      </c>
      <c r="E724" t="str">
        <f t="shared" si="56"/>
        <v xml:space="preserve">    726 : "wiegraf",</v>
      </c>
      <c r="F724">
        <f t="shared" si="54"/>
        <v>726</v>
      </c>
    </row>
    <row r="725" spans="3:6">
      <c r="C725">
        <f t="shared" si="55"/>
        <v>727</v>
      </c>
      <c r="D725" t="s">
        <v>967</v>
      </c>
      <c r="E725" t="str">
        <f t="shared" si="56"/>
        <v xml:space="preserve">    727 : "wolfdog",</v>
      </c>
      <c r="F725">
        <f t="shared" si="54"/>
        <v>727</v>
      </c>
    </row>
    <row r="726" spans="3:6">
      <c r="C726">
        <f t="shared" si="55"/>
        <v>728</v>
      </c>
      <c r="D726" t="s">
        <v>968</v>
      </c>
      <c r="E726" t="str">
        <f t="shared" si="56"/>
        <v xml:space="preserve">    728 : "wolverine",</v>
      </c>
      <c r="F726">
        <f t="shared" si="54"/>
        <v>728</v>
      </c>
    </row>
    <row r="727" spans="3:6">
      <c r="C727">
        <f t="shared" si="55"/>
        <v>729</v>
      </c>
      <c r="D727" t="s">
        <v>969</v>
      </c>
      <c r="E727" t="str">
        <f t="shared" si="56"/>
        <v xml:space="preserve">    729 : "xenomorph",</v>
      </c>
      <c r="F727">
        <f t="shared" si="54"/>
        <v>729</v>
      </c>
    </row>
    <row r="728" spans="3:6">
      <c r="C728">
        <f t="shared" si="55"/>
        <v>730</v>
      </c>
      <c r="D728" t="s">
        <v>970</v>
      </c>
      <c r="E728" t="str">
        <f t="shared" si="56"/>
        <v xml:space="preserve">    730 : "xezhat",</v>
      </c>
      <c r="F728">
        <f t="shared" si="54"/>
        <v>730</v>
      </c>
    </row>
    <row r="729" spans="3:6">
      <c r="C729">
        <f t="shared" si="55"/>
        <v>731</v>
      </c>
      <c r="D729" t="s">
        <v>971</v>
      </c>
      <c r="E729" t="str">
        <f t="shared" si="56"/>
        <v xml:space="preserve">    731 : "yang",</v>
      </c>
      <c r="F729">
        <f t="shared" si="54"/>
        <v>731</v>
      </c>
    </row>
    <row r="730" spans="3:6">
      <c r="C730">
        <f t="shared" si="55"/>
        <v>732</v>
      </c>
      <c r="D730" t="s">
        <v>972</v>
      </c>
      <c r="E730" t="str">
        <f t="shared" si="56"/>
        <v xml:space="preserve">    732 : "yoshi",</v>
      </c>
      <c r="F730">
        <f t="shared" si="54"/>
        <v>732</v>
      </c>
    </row>
    <row r="731" spans="3:6">
      <c r="C731">
        <f t="shared" si="55"/>
        <v>733</v>
      </c>
      <c r="D731" t="s">
        <v>973</v>
      </c>
      <c r="E731" t="str">
        <f t="shared" si="56"/>
        <v xml:space="preserve">    733 : "yuffie",</v>
      </c>
      <c r="F731">
        <f t="shared" si="54"/>
        <v>733</v>
      </c>
    </row>
    <row r="732" spans="3:6">
      <c r="C732">
        <f t="shared" si="55"/>
        <v>734</v>
      </c>
      <c r="D732" t="s">
        <v>974</v>
      </c>
      <c r="E732" t="str">
        <f t="shared" si="56"/>
        <v xml:space="preserve">    734 : "yuna",</v>
      </c>
      <c r="F732">
        <f t="shared" si="54"/>
        <v>734</v>
      </c>
    </row>
    <row r="733" spans="3:6">
      <c r="C733">
        <f t="shared" si="55"/>
        <v>735</v>
      </c>
      <c r="D733" t="s">
        <v>975</v>
      </c>
      <c r="E733" t="str">
        <f t="shared" si="56"/>
        <v xml:space="preserve">    735 : "yura",</v>
      </c>
      <c r="F733">
        <f t="shared" si="54"/>
        <v>735</v>
      </c>
    </row>
    <row r="734" spans="3:6">
      <c r="C734">
        <f t="shared" si="55"/>
        <v>736</v>
      </c>
      <c r="D734" t="s">
        <v>976</v>
      </c>
      <c r="E734" t="str">
        <f t="shared" si="56"/>
        <v xml:space="preserve">    736 : "zack",</v>
      </c>
      <c r="F734">
        <f t="shared" si="54"/>
        <v>736</v>
      </c>
    </row>
    <row r="735" spans="3:6">
      <c r="C735">
        <f t="shared" si="55"/>
        <v>737</v>
      </c>
      <c r="D735" t="s">
        <v>977</v>
      </c>
      <c r="E735" t="str">
        <f t="shared" si="56"/>
        <v xml:space="preserve">    737 : "zalbag",</v>
      </c>
      <c r="F735">
        <f t="shared" si="54"/>
        <v>737</v>
      </c>
    </row>
    <row r="736" spans="3:6">
      <c r="C736">
        <f t="shared" si="55"/>
        <v>738</v>
      </c>
      <c r="D736" t="s">
        <v>978</v>
      </c>
      <c r="E736" t="str">
        <f t="shared" si="56"/>
        <v xml:space="preserve">    738 : "zelda",</v>
      </c>
      <c r="F736">
        <f t="shared" ref="F736:F740" si="57">C736</f>
        <v>738</v>
      </c>
    </row>
    <row r="737" spans="3:6">
      <c r="C737">
        <f t="shared" ref="C737:C782" si="58">C736+1</f>
        <v>739</v>
      </c>
      <c r="D737" t="s">
        <v>979</v>
      </c>
      <c r="E737" t="str">
        <f t="shared" si="56"/>
        <v xml:space="preserve">    739 : "zell",</v>
      </c>
      <c r="F737">
        <f t="shared" si="57"/>
        <v>739</v>
      </c>
    </row>
    <row r="738" spans="3:6">
      <c r="C738">
        <f t="shared" si="58"/>
        <v>740</v>
      </c>
      <c r="D738" t="s">
        <v>980</v>
      </c>
      <c r="E738" t="str">
        <f t="shared" si="56"/>
        <v xml:space="preserve">    740 : "zetsu",</v>
      </c>
      <c r="F738">
        <f t="shared" si="57"/>
        <v>740</v>
      </c>
    </row>
    <row r="739" spans="3:6">
      <c r="C739">
        <f t="shared" si="58"/>
        <v>741</v>
      </c>
      <c r="D739" t="s">
        <v>981</v>
      </c>
      <c r="E739" t="str">
        <f t="shared" si="56"/>
        <v xml:space="preserve">    741 : "zidane",</v>
      </c>
      <c r="F739">
        <f t="shared" si="57"/>
        <v>741</v>
      </c>
    </row>
    <row r="740" spans="3:6">
      <c r="C740">
        <f t="shared" si="58"/>
        <v>742</v>
      </c>
      <c r="D740" t="s">
        <v>982</v>
      </c>
      <c r="E740" t="str">
        <f t="shared" si="56"/>
        <v xml:space="preserve">    742 : "zombie",</v>
      </c>
      <c r="F740">
        <f t="shared" si="57"/>
        <v>742</v>
      </c>
    </row>
    <row r="741" spans="3:6">
      <c r="C741">
        <f t="shared" si="58"/>
        <v>743</v>
      </c>
      <c r="D741" t="s">
        <v>1694</v>
      </c>
      <c r="E741" t="str">
        <f t="shared" si="56"/>
        <v xml:space="preserve">    743 : "Antlion-Astaroth-FF4",</v>
      </c>
    </row>
    <row r="742" spans="3:6">
      <c r="C742">
        <f t="shared" si="58"/>
        <v>744</v>
      </c>
      <c r="D742" t="s">
        <v>1695</v>
      </c>
      <c r="E742" t="str">
        <f t="shared" si="56"/>
        <v xml:space="preserve">    744 : "Arvis-PocoLoco-FF6",</v>
      </c>
    </row>
    <row r="743" spans="3:6">
      <c r="C743">
        <f t="shared" si="58"/>
        <v>745</v>
      </c>
      <c r="D743" t="s">
        <v>1696</v>
      </c>
      <c r="E743" t="str">
        <f t="shared" si="56"/>
        <v xml:space="preserve">    745 : "Atma-Astaroth-FF6",</v>
      </c>
    </row>
    <row r="744" spans="3:6">
      <c r="C744">
        <f t="shared" si="58"/>
        <v>746</v>
      </c>
      <c r="D744" t="s">
        <v>1697</v>
      </c>
      <c r="E744" t="str">
        <f t="shared" si="56"/>
        <v xml:space="preserve">    746 : "Beatrix-PocoLoco-FF9",</v>
      </c>
    </row>
    <row r="745" spans="3:6">
      <c r="C745">
        <f t="shared" si="58"/>
        <v>747</v>
      </c>
      <c r="D745" t="s">
        <v>1698</v>
      </c>
      <c r="E745" t="str">
        <f t="shared" si="56"/>
        <v xml:space="preserve">    747 : "Boy-Zozma-FF6",</v>
      </c>
    </row>
    <row r="746" spans="3:6">
      <c r="C746">
        <f t="shared" si="58"/>
        <v>748</v>
      </c>
      <c r="D746" t="s">
        <v>1699</v>
      </c>
      <c r="E746" t="str">
        <f t="shared" si="56"/>
        <v xml:space="preserve">    748 : "Cagnazzo-Astaroth-FF4",</v>
      </c>
    </row>
    <row r="747" spans="3:6">
      <c r="C747">
        <f t="shared" si="58"/>
        <v>749</v>
      </c>
      <c r="D747" t="s">
        <v>1700</v>
      </c>
      <c r="E747" t="str">
        <f t="shared" si="56"/>
        <v xml:space="preserve">    749 : "Celes (Amano)-Astaroth-FF6",</v>
      </c>
    </row>
    <row r="748" spans="3:6">
      <c r="C748">
        <f t="shared" si="58"/>
        <v>750</v>
      </c>
      <c r="D748" t="s">
        <v>1701</v>
      </c>
      <c r="E748" t="str">
        <f t="shared" si="56"/>
        <v xml:space="preserve">    750 : "Celes (Opera)-Astaroth-FF6",</v>
      </c>
    </row>
    <row r="749" spans="3:6">
      <c r="C749">
        <f t="shared" si="58"/>
        <v>751</v>
      </c>
      <c r="D749" t="s">
        <v>1702</v>
      </c>
      <c r="E749" t="str">
        <f t="shared" si="56"/>
        <v xml:space="preserve">    751 : "Clyde-PocoLoco-FF6",</v>
      </c>
    </row>
    <row r="750" spans="3:6">
      <c r="C750">
        <f t="shared" si="58"/>
        <v>752</v>
      </c>
      <c r="D750" t="s">
        <v>1703</v>
      </c>
      <c r="E750" t="str">
        <f t="shared" si="56"/>
        <v xml:space="preserve">    752 : "Cultist-PocoLoco-FF6",</v>
      </c>
    </row>
    <row r="751" spans="3:6">
      <c r="C751">
        <f t="shared" si="58"/>
        <v>753</v>
      </c>
      <c r="D751" t="s">
        <v>1704</v>
      </c>
      <c r="E751" t="str">
        <f t="shared" si="56"/>
        <v xml:space="preserve">    753 : "Dancer-PocoLoco-FF6",</v>
      </c>
    </row>
    <row r="752" spans="3:6">
      <c r="C752">
        <f t="shared" si="58"/>
        <v>754</v>
      </c>
      <c r="D752" t="s">
        <v>1705</v>
      </c>
      <c r="E752" t="str">
        <f t="shared" si="56"/>
        <v xml:space="preserve">    754 : "Dark Elf-Astaroth-FF4",</v>
      </c>
    </row>
    <row r="753" spans="3:5">
      <c r="C753">
        <f t="shared" si="58"/>
        <v>755</v>
      </c>
      <c r="D753" t="s">
        <v>1706</v>
      </c>
      <c r="E753" t="str">
        <f t="shared" si="56"/>
        <v xml:space="preserve">    755 : "Draco-PocoLoco-FF6",</v>
      </c>
    </row>
    <row r="754" spans="3:5">
      <c r="C754">
        <f t="shared" si="58"/>
        <v>756</v>
      </c>
      <c r="D754" t="s">
        <v>1707</v>
      </c>
      <c r="E754" t="str">
        <f t="shared" si="56"/>
        <v xml:space="preserve">    756 : "Elena-Astaroth-FF7",</v>
      </c>
    </row>
    <row r="755" spans="3:5">
      <c r="C755">
        <f t="shared" si="58"/>
        <v>757</v>
      </c>
      <c r="D755" t="s">
        <v>1708</v>
      </c>
      <c r="E755" t="str">
        <f t="shared" si="56"/>
        <v xml:space="preserve">    757 : "Figaro Guard-PocoLoco-FF6",</v>
      </c>
    </row>
    <row r="756" spans="3:5">
      <c r="C756">
        <f t="shared" si="58"/>
        <v>758</v>
      </c>
      <c r="D756" t="s">
        <v>1709</v>
      </c>
      <c r="E756" t="str">
        <f t="shared" si="56"/>
        <v xml:space="preserve">    758 : "Granny-Zozma-FF6",</v>
      </c>
    </row>
    <row r="757" spans="3:5">
      <c r="C757">
        <f t="shared" si="58"/>
        <v>759</v>
      </c>
      <c r="D757" t="s">
        <v>1710</v>
      </c>
      <c r="E757" t="str">
        <f t="shared" si="56"/>
        <v xml:space="preserve">    759 : "Hojo-LoneRedMage-FF7",</v>
      </c>
    </row>
    <row r="758" spans="3:5">
      <c r="C758">
        <f t="shared" si="58"/>
        <v>760</v>
      </c>
      <c r="D758" t="s">
        <v>1655</v>
      </c>
      <c r="E758" t="str">
        <f t="shared" si="56"/>
        <v xml:space="preserve">    760 : "Katarin-Zozma-FF6",</v>
      </c>
    </row>
    <row r="759" spans="3:5">
      <c r="C759">
        <f t="shared" si="58"/>
        <v>761</v>
      </c>
      <c r="D759" t="s">
        <v>1711</v>
      </c>
      <c r="E759" t="str">
        <f t="shared" si="56"/>
        <v xml:space="preserve">    761 : "Lady-Zozma-FF6",</v>
      </c>
    </row>
    <row r="760" spans="3:5">
      <c r="C760">
        <f t="shared" si="58"/>
        <v>762</v>
      </c>
      <c r="D760" t="s">
        <v>1712</v>
      </c>
      <c r="E760" t="str">
        <f t="shared" si="56"/>
        <v xml:space="preserve">    762 : "Link-FEOK-LegendOfZelda",</v>
      </c>
    </row>
    <row r="761" spans="3:5">
      <c r="C761">
        <f t="shared" si="58"/>
        <v>763</v>
      </c>
      <c r="D761" t="s">
        <v>1713</v>
      </c>
      <c r="E761" t="str">
        <f t="shared" si="56"/>
        <v xml:space="preserve">    763 : "LoneWolf-PocoLoco-FF6",</v>
      </c>
    </row>
    <row r="762" spans="3:5">
      <c r="C762">
        <f t="shared" si="58"/>
        <v>764</v>
      </c>
      <c r="D762" t="s">
        <v>1714</v>
      </c>
      <c r="E762" t="str">
        <f t="shared" si="56"/>
        <v xml:space="preserve">    764 : "Lucca-FEOK-CT",</v>
      </c>
    </row>
    <row r="763" spans="3:5">
      <c r="C763">
        <f t="shared" si="58"/>
        <v>765</v>
      </c>
      <c r="D763" t="s">
        <v>1715</v>
      </c>
      <c r="E763" t="str">
        <f t="shared" si="56"/>
        <v xml:space="preserve">    765 : "Lufia-JamesWhite89-Lufia",</v>
      </c>
    </row>
    <row r="764" spans="3:5">
      <c r="C764">
        <f t="shared" si="58"/>
        <v>766</v>
      </c>
      <c r="D764" t="s">
        <v>1716</v>
      </c>
      <c r="E764" t="str">
        <f t="shared" si="56"/>
        <v xml:space="preserve">    766 : "Luigi-Badass-Mario",</v>
      </c>
    </row>
    <row r="765" spans="3:5">
      <c r="C765">
        <f t="shared" si="58"/>
        <v>767</v>
      </c>
      <c r="D765" t="s">
        <v>1717</v>
      </c>
      <c r="E765" t="str">
        <f t="shared" si="56"/>
        <v xml:space="preserve">    767 : "Maduin-PocoLoco-FF6",</v>
      </c>
    </row>
    <row r="766" spans="3:5">
      <c r="C766">
        <f t="shared" si="58"/>
        <v>768</v>
      </c>
      <c r="D766" t="s">
        <v>1718</v>
      </c>
      <c r="E766" t="str">
        <f t="shared" si="56"/>
        <v xml:space="preserve">    768 : "Mario-Badass-Mario",</v>
      </c>
    </row>
    <row r="767" spans="3:5">
      <c r="C767">
        <f t="shared" si="58"/>
        <v>769</v>
      </c>
      <c r="D767" t="s">
        <v>1719</v>
      </c>
      <c r="E767" t="str">
        <f t="shared" si="56"/>
        <v xml:space="preserve">    769 : "NarsheGuard-PocoLoco-FF6",</v>
      </c>
    </row>
    <row r="768" spans="3:5">
      <c r="C768">
        <f t="shared" si="58"/>
        <v>770</v>
      </c>
      <c r="D768" t="s">
        <v>1720</v>
      </c>
      <c r="E768" t="str">
        <f t="shared" si="56"/>
        <v xml:space="preserve">    770 : "Peach-Halkel-SMRPG",</v>
      </c>
    </row>
    <row r="769" spans="3:5">
      <c r="C769">
        <f t="shared" si="58"/>
        <v>771</v>
      </c>
      <c r="D769" t="s">
        <v>1721</v>
      </c>
      <c r="E769" t="str">
        <f t="shared" si="56"/>
        <v xml:space="preserve">    771 : "Returner-PocoLoco-FF6",</v>
      </c>
    </row>
    <row r="770" spans="3:5">
      <c r="C770">
        <f t="shared" si="58"/>
        <v>772</v>
      </c>
      <c r="D770" t="s">
        <v>1722</v>
      </c>
      <c r="E770" t="str">
        <f t="shared" si="56"/>
        <v xml:space="preserve">    772 : "Rubicante-Astaroth-FF4",</v>
      </c>
    </row>
    <row r="771" spans="3:5">
      <c r="C771">
        <f t="shared" si="58"/>
        <v>773</v>
      </c>
      <c r="D771" t="s">
        <v>1723</v>
      </c>
      <c r="E771" t="str">
        <f t="shared" si="56"/>
        <v xml:space="preserve">    773 : "Scholar-PocoLoco-FF6",</v>
      </c>
    </row>
    <row r="772" spans="3:5">
      <c r="C772">
        <f t="shared" si="58"/>
        <v>774</v>
      </c>
      <c r="D772" t="s">
        <v>1724</v>
      </c>
      <c r="E772" t="str">
        <f t="shared" si="56"/>
        <v xml:space="preserve">    774 : "Seifer-Filipinac-FF8",</v>
      </c>
    </row>
    <row r="773" spans="3:5">
      <c r="C773">
        <f t="shared" si="58"/>
        <v>775</v>
      </c>
      <c r="D773" t="s">
        <v>1725</v>
      </c>
      <c r="E773" t="str">
        <f t="shared" si="56"/>
        <v xml:space="preserve">    775 : "Siegfried-PocoLoco-FF6",</v>
      </c>
    </row>
    <row r="774" spans="3:5">
      <c r="C774">
        <f t="shared" si="58"/>
        <v>776</v>
      </c>
      <c r="D774" t="s">
        <v>1726</v>
      </c>
      <c r="E774" t="str">
        <f t="shared" si="56"/>
        <v xml:space="preserve">    776 : "Slash-Badass-CT",</v>
      </c>
    </row>
    <row r="775" spans="3:5">
      <c r="C775">
        <f t="shared" si="58"/>
        <v>777</v>
      </c>
      <c r="D775" t="s">
        <v>1727</v>
      </c>
      <c r="E775" t="str">
        <f t="shared" si="56"/>
        <v xml:space="preserve">    777 : "Sonic-Badass-Sonic",</v>
      </c>
    </row>
    <row r="776" spans="3:5">
      <c r="C776">
        <f t="shared" si="58"/>
        <v>778</v>
      </c>
      <c r="D776" t="s">
        <v>1728</v>
      </c>
      <c r="E776" t="str">
        <f t="shared" ref="E776:E782" si="59">"    "&amp;C776&amp;" : """&amp;D776&amp;""","</f>
        <v xml:space="preserve">    778 : "Squall (Uniform)-SApprentice-FF8",</v>
      </c>
    </row>
    <row r="777" spans="3:5">
      <c r="C777">
        <f t="shared" si="58"/>
        <v>779</v>
      </c>
      <c r="D777" t="s">
        <v>1729</v>
      </c>
      <c r="E777" t="str">
        <f t="shared" si="59"/>
        <v xml:space="preserve">    779 : "Squall-PocoLoco-FF8",</v>
      </c>
    </row>
    <row r="778" spans="3:5">
      <c r="C778">
        <f t="shared" si="58"/>
        <v>780</v>
      </c>
      <c r="D778" t="s">
        <v>1730</v>
      </c>
      <c r="E778" t="str">
        <f t="shared" si="59"/>
        <v xml:space="preserve">    780 : "Tifa-Astaroth-FF7",</v>
      </c>
    </row>
    <row r="779" spans="3:5">
      <c r="C779">
        <f t="shared" si="58"/>
        <v>781</v>
      </c>
      <c r="D779" t="s">
        <v>1731</v>
      </c>
      <c r="E779" t="str">
        <f t="shared" si="59"/>
        <v xml:space="preserve">    781 : "Train Conductor-Zozma-FF6",</v>
      </c>
    </row>
    <row r="780" spans="3:5">
      <c r="C780">
        <f t="shared" si="58"/>
        <v>782</v>
      </c>
      <c r="D780" t="s">
        <v>1732</v>
      </c>
      <c r="E780" t="str">
        <f t="shared" si="59"/>
        <v xml:space="preserve">    782 : "Vargas-PocoLoco-FF6",</v>
      </c>
    </row>
    <row r="781" spans="3:5">
      <c r="C781">
        <f t="shared" si="58"/>
        <v>783</v>
      </c>
      <c r="D781" t="s">
        <v>1733</v>
      </c>
      <c r="E781" t="str">
        <f t="shared" si="59"/>
        <v xml:space="preserve">    783 : "Vincent-FEOK-FF7",</v>
      </c>
    </row>
    <row r="782" spans="3:5">
      <c r="C782">
        <f t="shared" si="58"/>
        <v>784</v>
      </c>
      <c r="D782" t="s">
        <v>1734</v>
      </c>
      <c r="E782" t="str">
        <f t="shared" si="59"/>
        <v xml:space="preserve">    784 : "Yoshi-Badass-Mario",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79"/>
  <sheetViews>
    <sheetView tabSelected="1" topLeftCell="A2" workbookViewId="0">
      <selection activeCell="I16" sqref="I16"/>
    </sheetView>
  </sheetViews>
  <sheetFormatPr defaultRowHeight="15"/>
  <cols>
    <col min="1" max="1" width="18.7109375" bestFit="1" customWidth="1"/>
    <col min="2" max="2" width="13.42578125" bestFit="1" customWidth="1"/>
    <col min="3" max="3" width="13.85546875" bestFit="1" customWidth="1"/>
    <col min="4" max="4" width="12.85546875" bestFit="1" customWidth="1"/>
    <col min="5" max="5" width="10" bestFit="1" customWidth="1"/>
    <col min="6" max="6" width="18.42578125" customWidth="1"/>
    <col min="7" max="7" width="19.42578125" customWidth="1"/>
    <col min="8" max="8" width="59.140625" customWidth="1"/>
  </cols>
  <sheetData>
    <row r="1" spans="1:9">
      <c r="B1" t="s">
        <v>1528</v>
      </c>
      <c r="C1" t="s">
        <v>1524</v>
      </c>
      <c r="D1" t="s">
        <v>1525</v>
      </c>
      <c r="E1" t="s">
        <v>1526</v>
      </c>
      <c r="F1" t="s">
        <v>1527</v>
      </c>
    </row>
    <row r="2" spans="1:9" ht="75">
      <c r="A2" s="2" t="s">
        <v>1493</v>
      </c>
      <c r="B2">
        <v>6</v>
      </c>
      <c r="C2">
        <v>20</v>
      </c>
      <c r="D2">
        <v>149</v>
      </c>
      <c r="E2">
        <f>(B2+1)/(D2-C2+1)</f>
        <v>5.3846153846153849E-2</v>
      </c>
      <c r="G2" t="s">
        <v>1550</v>
      </c>
      <c r="H2" s="3" t="str">
        <f ca="1">F9&amp;" "&amp;F26&amp;" "&amp;F48&amp;" "&amp;F70</f>
        <v>-cpal 1.96.137.37.0.51.34 -cpor 113.113.113.113.113.113.113.113.113.113.113.113.113.113.583 -cspr 162.162.162.162.162.162.162.162.162.162.162.162.162.162.162.162.162.162.162.162 -cspp 4.3.5.1.0.0.5.5.1.2.0.0.5.4.3.2.5.5.5.5</v>
      </c>
    </row>
    <row r="3" spans="1:9">
      <c r="A3" t="s">
        <v>1494</v>
      </c>
      <c r="B3">
        <f t="shared" ref="B3:B9" ca="1" si="0">RANDBETWEEN(0,$B$2)</f>
        <v>1</v>
      </c>
      <c r="C3">
        <f t="shared" ref="C3:C9" ca="1" si="1">RANDBETWEEN($C$2,$D$2)</f>
        <v>55</v>
      </c>
      <c r="D3">
        <f t="shared" ref="D3:D9" ca="1" si="2">IF(RAND()&lt;=$E$2,B3,C3)</f>
        <v>1</v>
      </c>
      <c r="F3" t="str">
        <f ca="1">"-cpal "&amp;D3</f>
        <v>-cpal 1</v>
      </c>
    </row>
    <row r="4" spans="1:9">
      <c r="A4" t="s">
        <v>1495</v>
      </c>
      <c r="B4">
        <f t="shared" ca="1" si="0"/>
        <v>1</v>
      </c>
      <c r="C4">
        <f t="shared" ca="1" si="1"/>
        <v>96</v>
      </c>
      <c r="D4">
        <f t="shared" ca="1" si="2"/>
        <v>96</v>
      </c>
      <c r="F4" t="str">
        <f t="shared" ref="F4:F9" ca="1" si="3">F3&amp;"."&amp;D4</f>
        <v>-cpal 1.96</v>
      </c>
    </row>
    <row r="5" spans="1:9">
      <c r="A5" t="s">
        <v>1496</v>
      </c>
      <c r="B5">
        <f t="shared" ca="1" si="0"/>
        <v>0</v>
      </c>
      <c r="C5">
        <f t="shared" ca="1" si="1"/>
        <v>137</v>
      </c>
      <c r="D5">
        <f t="shared" ca="1" si="2"/>
        <v>137</v>
      </c>
      <c r="F5" t="str">
        <f t="shared" ca="1" si="3"/>
        <v>-cpal 1.96.137</v>
      </c>
    </row>
    <row r="6" spans="1:9">
      <c r="A6" t="s">
        <v>1497</v>
      </c>
      <c r="B6">
        <f t="shared" ca="1" si="0"/>
        <v>1</v>
      </c>
      <c r="C6">
        <f t="shared" ca="1" si="1"/>
        <v>37</v>
      </c>
      <c r="D6">
        <f t="shared" ca="1" si="2"/>
        <v>37</v>
      </c>
      <c r="F6" t="str">
        <f t="shared" ca="1" si="3"/>
        <v>-cpal 1.96.137.37</v>
      </c>
      <c r="G6" t="s">
        <v>1548</v>
      </c>
      <c r="H6" s="1" t="s">
        <v>1553</v>
      </c>
    </row>
    <row r="7" spans="1:9">
      <c r="A7" t="s">
        <v>1498</v>
      </c>
      <c r="B7">
        <f t="shared" ca="1" si="0"/>
        <v>0</v>
      </c>
      <c r="C7">
        <f t="shared" ca="1" si="1"/>
        <v>104</v>
      </c>
      <c r="D7">
        <f t="shared" ca="1" si="2"/>
        <v>0</v>
      </c>
      <c r="F7" t="str">
        <f t="shared" ca="1" si="3"/>
        <v>-cpal 1.96.137.37.0</v>
      </c>
      <c r="G7" t="s">
        <v>1547</v>
      </c>
      <c r="H7" s="1" t="s">
        <v>1551</v>
      </c>
    </row>
    <row r="8" spans="1:9">
      <c r="A8" t="s">
        <v>1499</v>
      </c>
      <c r="B8">
        <f t="shared" ca="1" si="0"/>
        <v>5</v>
      </c>
      <c r="C8">
        <f t="shared" ca="1" si="1"/>
        <v>51</v>
      </c>
      <c r="D8">
        <f t="shared" ca="1" si="2"/>
        <v>51</v>
      </c>
      <c r="F8" t="str">
        <f t="shared" ca="1" si="3"/>
        <v>-cpal 1.96.137.37.0.51</v>
      </c>
    </row>
    <row r="9" spans="1:9">
      <c r="A9" t="s">
        <v>1500</v>
      </c>
      <c r="B9">
        <f t="shared" ca="1" si="0"/>
        <v>2</v>
      </c>
      <c r="C9">
        <f t="shared" ca="1" si="1"/>
        <v>34</v>
      </c>
      <c r="D9">
        <f t="shared" ca="1" si="2"/>
        <v>34</v>
      </c>
      <c r="F9" t="str">
        <f t="shared" ca="1" si="3"/>
        <v>-cpal 1.96.137.37.0.51.34</v>
      </c>
      <c r="G9" t="s">
        <v>1549</v>
      </c>
      <c r="H9" t="str">
        <f>H7&amp;" "&amp;H6</f>
        <v>-cg -oa 2.2.2.2.6.6.4.9.9 -ob 3.1.1.2.9.9.4.12.12 -oc 30.8.8.1.1.11.8 -sc1 random -sc2 random -sc3 random -sal -eu -csrp 80 125 -fst -brl -slr 3 5 -lmprp 75 125 -lel -srr 20 30 -rnl -rnc -sdr 1 2 -das -dda -dns -sch -com 98989898989898989898989898 -rec1 28 -rec2 27 -rec3 29 -xpm 3 -mpm 5 -gpm 5 -nxppd -lsced 2 -hmced 2 -xgced 2 -ase 2 -msl 40 -sed -bbs -be -bnu -res -fer 0 -escr 100 -dgne -wnz -mmnu -cmd -esr 1 5 -ebr 68 -emprp 75 125 -nm1 random -rnl1 -nm2 random -rnl2 -nmmi -gp 5000 -smc 3 -ieor 33 -ieror 33 -csb 3 14 -mca -stra -saw -sisr 20 -sprp 75 125 -sdm 4 -npi -snbr -ccsr 20 -cms -cor -crr -crvr 50 60 -crm -ari -anca -adeh -nmc -nu -nfps -fs -fe -fvd -fj -fbs -fedc -as -ond -rr -etn -cpal 100.64.23.6.74.120.122 -cpor 113.113.113.113.113.113.113.113.113.113.113.113.113.113.610 -cspr 162.162.162.162.162.162.162.162.162.162.162.162.162.162.162.162.162.162.162.162 -cspp 4.0.2.5.2.5.0.3.1.2.0.3.0.5.0.4.1.1.1.2</v>
      </c>
    </row>
    <row r="10" spans="1:9">
      <c r="D10" s="1" t="s">
        <v>1552</v>
      </c>
    </row>
    <row r="11" spans="1:9">
      <c r="A11" s="2" t="s">
        <v>1501</v>
      </c>
      <c r="B11">
        <v>18</v>
      </c>
      <c r="C11">
        <v>30</v>
      </c>
      <c r="D11">
        <f>Listing!H1</f>
        <v>620</v>
      </c>
      <c r="E11">
        <f>(B11+1)/(D11-C11+1)</f>
        <v>3.2148900169204735E-2</v>
      </c>
    </row>
    <row r="12" spans="1:9">
      <c r="A12" t="s">
        <v>1502</v>
      </c>
      <c r="B12">
        <f t="shared" ref="B12:B26" ca="1" si="4">RANDBETWEEN(0,$B$11)</f>
        <v>9</v>
      </c>
      <c r="C12">
        <f t="shared" ref="C12:C26" ca="1" si="5">RANDBETWEEN($C$11,$D$11)</f>
        <v>127</v>
      </c>
      <c r="D12" t="s">
        <v>1532</v>
      </c>
      <c r="F12" t="str">
        <f>"-cpor "&amp;D12</f>
        <v>-cpor 113</v>
      </c>
      <c r="G12" t="s">
        <v>1668</v>
      </c>
      <c r="H12" s="1" t="s">
        <v>1755</v>
      </c>
    </row>
    <row r="13" spans="1:9">
      <c r="A13" t="s">
        <v>1503</v>
      </c>
      <c r="B13">
        <f t="shared" ca="1" si="4"/>
        <v>8</v>
      </c>
      <c r="C13">
        <f t="shared" ca="1" si="5"/>
        <v>233</v>
      </c>
      <c r="D13" t="s">
        <v>1532</v>
      </c>
      <c r="F13" t="str">
        <f t="shared" ref="F13:F26" si="6">F12&amp;"."&amp;D13</f>
        <v>-cpor 113.113</v>
      </c>
      <c r="H13" s="1" t="s">
        <v>1754</v>
      </c>
      <c r="I13" t="str">
        <f>H12&amp;H13</f>
        <v xml:space="preserve">-open -sl -oa 2.2.2.2.7.7.4.10.10 -ob 30.8.8.1.1.11.8 -sc1 terra -sc2 locke -sc3 cyan -sc4 shadow -sal -fst -slr 5 8 -lmprp 75 125 -lel -srr 15 30 -rnl -sdr 1 1 -dda -dns -rec1 28 -rec2 23 -xpm 4 -mpm 5 -gpm 5 -nxppd -lsa 1 -hma 1 -xga 1 -msl 40 -sed -sfb -be -escr 100 -dgne -wnz -mmnu -cmd -esr 1 5 -ebr 100 -emprp 75 125 -ems -nm1 random -rnl1 -rns1 -nm2 random -rnl2 -rns2 -nmmi -gp 5000 -smc 3 -sfd 3 -sto 1 -ieor 33 -ierr 14 14 -csb 1 16 -mca -stra -saw -sisr 100 -sdm 5 -npi -ccsr 100 -cor -crr -crvr 75 128 -crm -ari -anca -adeh -nmc -nfce -fs -fe -fvd -fr -fj -fbs -fedc -as -ond -rr -cpal 151.152.153.154.0.0.0 </v>
      </c>
    </row>
    <row r="14" spans="1:9">
      <c r="A14" t="s">
        <v>1504</v>
      </c>
      <c r="B14">
        <f t="shared" ca="1" si="4"/>
        <v>14</v>
      </c>
      <c r="C14">
        <f t="shared" ca="1" si="5"/>
        <v>572</v>
      </c>
      <c r="D14" t="s">
        <v>1532</v>
      </c>
      <c r="F14" t="str">
        <f t="shared" si="6"/>
        <v>-cpor 113.113.113</v>
      </c>
      <c r="H14" s="1" t="s">
        <v>1756</v>
      </c>
      <c r="I14" t="str">
        <f>I13&amp;H14</f>
        <v xml:space="preserve">-open -sl -oa 2.2.2.2.7.7.4.10.10 -ob 30.8.8.1.1.11.8 -sc1 terra -sc2 locke -sc3 cyan -sc4 shadow -sal -fst -slr 5 8 -lmprp 75 125 -lel -srr 15 30 -rnl -sdr 1 1 -dda -dns -rec1 28 -rec2 23 -xpm 4 -mpm 5 -gpm 5 -nxppd -lsa 1 -hma 1 -xga 1 -msl 40 -sed -sfb -be -escr 100 -dgne -wnz -mmnu -cmd -esr 1 5 -ebr 100 -emprp 75 125 -ems -nm1 random -rnl1 -rns1 -nm2 random -rnl2 -rns2 -nmmi -gp 5000 -smc 3 -sfd 3 -sto 1 -ieor 33 -ierr 14 14 -csb 1 16 -mca -stra -saw -sisr 100 -sdm 5 -npi -ccsr 100 -cor -crr -crvr 75 128 -crm -ari -anca -adeh -nmc -nfce -fs -fe -fvd -fr -fj -fbs -fedc -as -ond -rr -cpal 151.152.153.154.0.0.0 -cpor 621.622.623.624.0.0.0.0.0.0.0.0.0.0.0 </v>
      </c>
    </row>
    <row r="15" spans="1:9">
      <c r="A15" t="s">
        <v>1505</v>
      </c>
      <c r="B15">
        <f t="shared" ca="1" si="4"/>
        <v>16</v>
      </c>
      <c r="C15">
        <f t="shared" ca="1" si="5"/>
        <v>614</v>
      </c>
      <c r="D15" t="s">
        <v>1532</v>
      </c>
      <c r="F15" t="str">
        <f t="shared" si="6"/>
        <v>-cpor 113.113.113.113</v>
      </c>
      <c r="H15" s="1" t="s">
        <v>1757</v>
      </c>
      <c r="I15" t="str">
        <f>I14&amp;H15</f>
        <v xml:space="preserve">-open -sl -oa 2.2.2.2.7.7.4.10.10 -ob 30.8.8.1.1.11.8 -sc1 terra -sc2 locke -sc3 cyan -sc4 shadow -sal -fst -slr 5 8 -lmprp 75 125 -lel -srr 15 30 -rnl -sdr 1 1 -dda -dns -rec1 28 -rec2 23 -xpm 4 -mpm 5 -gpm 5 -nxppd -lsa 1 -hma 1 -xga 1 -msl 40 -sed -sfb -be -escr 100 -dgne -wnz -mmnu -cmd -esr 1 5 -ebr 100 -emprp 75 125 -ems -nm1 random -rnl1 -rns1 -nm2 random -rnl2 -rns2 -nmmi -gp 5000 -smc 3 -sfd 3 -sto 1 -ieor 33 -ierr 14 14 -csb 1 16 -mca -stra -saw -sisr 100 -sdm 5 -npi -ccsr 100 -cor -crr -crvr 75 128 -crm -ari -anca -adeh -nmc -nfce -fs -fe -fvd -fr -fj -fbs -fedc -as -ond -rr -cpal 151.152.153.154.0.0.0 -cpor 621.622.623.624.0.0.0.0.0.0.0.0.0.0.0 -cspr 743.744.745.746.0.0.0.0.0.0.0.0.0.0.0.0.0.0.0.0 </v>
      </c>
    </row>
    <row r="16" spans="1:9">
      <c r="A16" t="s">
        <v>1506</v>
      </c>
      <c r="B16">
        <f t="shared" ca="1" si="4"/>
        <v>7</v>
      </c>
      <c r="C16">
        <f t="shared" ca="1" si="5"/>
        <v>200</v>
      </c>
      <c r="D16" t="s">
        <v>1532</v>
      </c>
      <c r="F16" t="str">
        <f t="shared" si="6"/>
        <v>-cpor 113.113.113.113.113</v>
      </c>
      <c r="H16" s="1" t="s">
        <v>1758</v>
      </c>
      <c r="I16" t="str">
        <f>I15&amp;H16</f>
        <v xml:space="preserve">-open -sl -oa 2.2.2.2.7.7.4.10.10 -ob 30.8.8.1.1.11.8 -sc1 terra -sc2 locke -sc3 cyan -sc4 shadow -sal -fst -slr 5 8 -lmprp 75 125 -lel -srr 15 30 -rnl -sdr 1 1 -dda -dns -rec1 28 -rec2 23 -xpm 4 -mpm 5 -gpm 5 -nxppd -lsa 1 -hma 1 -xga 1 -msl 40 -sed -sfb -be -escr 100 -dgne -wnz -mmnu -cmd -esr 1 5 -ebr 100 -emprp 75 125 -ems -nm1 random -rnl1 -rns1 -nm2 random -rnl2 -rns2 -nmmi -gp 5000 -smc 3 -sfd 3 -sto 1 -ieor 33 -ierr 14 14 -csb 1 16 -mca -stra -saw -sisr 100 -sdm 5 -npi -ccsr 100 -cor -crr -crvr 75 128 -crm -ari -anca -adeh -nmc -nfce -fs -fe -fvd -fr -fj -fbs -fedc -as -ond -rr -cpal 151.152.153.154.0.0.0 -cpor 621.622.623.624.0.0.0.0.0.0.0.0.0.0.0 -cspr 743.744.745.746.0.0.0.0.0.0.0.0.0.0.0.0.0.0.0.0 -cspp 0.1.2.3.0.0.0.0.0.0.0.0.0.0.0.0.0.0.0.0 </v>
      </c>
    </row>
    <row r="17" spans="1:8">
      <c r="A17" t="s">
        <v>1507</v>
      </c>
      <c r="B17">
        <f t="shared" ca="1" si="4"/>
        <v>16</v>
      </c>
      <c r="C17">
        <f t="shared" ca="1" si="5"/>
        <v>469</v>
      </c>
      <c r="D17" t="s">
        <v>1532</v>
      </c>
      <c r="F17" t="str">
        <f t="shared" si="6"/>
        <v>-cpor 113.113.113.113.113.113</v>
      </c>
      <c r="H17" t="s">
        <v>1664</v>
      </c>
    </row>
    <row r="18" spans="1:8">
      <c r="A18" t="s">
        <v>1508</v>
      </c>
      <c r="B18">
        <f t="shared" ca="1" si="4"/>
        <v>0</v>
      </c>
      <c r="C18">
        <f t="shared" ca="1" si="5"/>
        <v>64</v>
      </c>
      <c r="D18" t="s">
        <v>1532</v>
      </c>
      <c r="F18" t="str">
        <f t="shared" si="6"/>
        <v>-cpor 113.113.113.113.113.113.113</v>
      </c>
      <c r="H18" t="s">
        <v>1666</v>
      </c>
    </row>
    <row r="19" spans="1:8">
      <c r="A19" t="s">
        <v>1509</v>
      </c>
      <c r="B19">
        <f t="shared" ca="1" si="4"/>
        <v>5</v>
      </c>
      <c r="C19">
        <f t="shared" ca="1" si="5"/>
        <v>469</v>
      </c>
      <c r="D19" t="s">
        <v>1532</v>
      </c>
      <c r="F19" t="str">
        <f t="shared" si="6"/>
        <v>-cpor 113.113.113.113.113.113.113.113</v>
      </c>
      <c r="H19" t="s">
        <v>1665</v>
      </c>
    </row>
    <row r="20" spans="1:8">
      <c r="A20" t="s">
        <v>1510</v>
      </c>
      <c r="B20">
        <f t="shared" ca="1" si="4"/>
        <v>13</v>
      </c>
      <c r="C20">
        <f t="shared" ca="1" si="5"/>
        <v>38</v>
      </c>
      <c r="D20" t="s">
        <v>1532</v>
      </c>
      <c r="F20" t="str">
        <f t="shared" si="6"/>
        <v>-cpor 113.113.113.113.113.113.113.113.113</v>
      </c>
      <c r="H20" t="s">
        <v>1667</v>
      </c>
    </row>
    <row r="21" spans="1:8">
      <c r="A21" t="s">
        <v>1511</v>
      </c>
      <c r="B21">
        <f t="shared" ca="1" si="4"/>
        <v>10</v>
      </c>
      <c r="C21">
        <f t="shared" ca="1" si="5"/>
        <v>383</v>
      </c>
      <c r="D21" t="s">
        <v>1532</v>
      </c>
      <c r="F21" t="str">
        <f t="shared" si="6"/>
        <v>-cpor 113.113.113.113.113.113.113.113.113.113</v>
      </c>
    </row>
    <row r="22" spans="1:8">
      <c r="A22" t="s">
        <v>1512</v>
      </c>
      <c r="B22">
        <f t="shared" ca="1" si="4"/>
        <v>17</v>
      </c>
      <c r="C22">
        <f t="shared" ca="1" si="5"/>
        <v>129</v>
      </c>
      <c r="D22" t="s">
        <v>1532</v>
      </c>
      <c r="F22" t="str">
        <f t="shared" si="6"/>
        <v>-cpor 113.113.113.113.113.113.113.113.113.113.113</v>
      </c>
    </row>
    <row r="23" spans="1:8">
      <c r="A23" t="s">
        <v>1513</v>
      </c>
      <c r="B23">
        <f t="shared" ca="1" si="4"/>
        <v>17</v>
      </c>
      <c r="C23">
        <f t="shared" ca="1" si="5"/>
        <v>211</v>
      </c>
      <c r="D23" t="s">
        <v>1532</v>
      </c>
      <c r="F23" t="str">
        <f t="shared" si="6"/>
        <v>-cpor 113.113.113.113.113.113.113.113.113.113.113.113</v>
      </c>
    </row>
    <row r="24" spans="1:8">
      <c r="A24" t="s">
        <v>1514</v>
      </c>
      <c r="B24">
        <f t="shared" ca="1" si="4"/>
        <v>6</v>
      </c>
      <c r="C24">
        <f t="shared" ca="1" si="5"/>
        <v>558</v>
      </c>
      <c r="D24" t="s">
        <v>1532</v>
      </c>
      <c r="F24" t="str">
        <f t="shared" si="6"/>
        <v>-cpor 113.113.113.113.113.113.113.113.113.113.113.113.113</v>
      </c>
    </row>
    <row r="25" spans="1:8">
      <c r="A25" t="s">
        <v>1515</v>
      </c>
      <c r="B25">
        <f t="shared" ca="1" si="4"/>
        <v>18</v>
      </c>
      <c r="C25">
        <f t="shared" ca="1" si="5"/>
        <v>416</v>
      </c>
      <c r="D25" t="s">
        <v>1532</v>
      </c>
      <c r="F25" t="str">
        <f t="shared" si="6"/>
        <v>-cpor 113.113.113.113.113.113.113.113.113.113.113.113.113.113</v>
      </c>
    </row>
    <row r="26" spans="1:8">
      <c r="A26" t="s">
        <v>1517</v>
      </c>
      <c r="B26">
        <f t="shared" ca="1" si="4"/>
        <v>9</v>
      </c>
      <c r="C26">
        <f t="shared" ca="1" si="5"/>
        <v>583</v>
      </c>
      <c r="D26">
        <f ca="1">IF(RAND()&lt;=$E$11,B26,C26)</f>
        <v>583</v>
      </c>
      <c r="F26" t="str">
        <f t="shared" ca="1" si="6"/>
        <v>-cpor 113.113.113.113.113.113.113.113.113.113.113.113.113.113.583</v>
      </c>
    </row>
    <row r="27" spans="1:8">
      <c r="D27" s="1" t="s">
        <v>1529</v>
      </c>
    </row>
    <row r="28" spans="1:8">
      <c r="A28" s="2" t="s">
        <v>1522</v>
      </c>
      <c r="B28">
        <v>21</v>
      </c>
      <c r="C28">
        <v>30</v>
      </c>
      <c r="D28">
        <f>Listing!B1</f>
        <v>742</v>
      </c>
      <c r="E28">
        <f>(B28+1)/(D28-C28+1)</f>
        <v>3.0855539971949508E-2</v>
      </c>
    </row>
    <row r="29" spans="1:8">
      <c r="A29" t="s">
        <v>1502</v>
      </c>
      <c r="B29">
        <f t="shared" ref="B29:B48" ca="1" si="7">RANDBETWEEN(0,$B$28)</f>
        <v>0</v>
      </c>
      <c r="C29">
        <f t="shared" ref="C29:C48" ca="1" si="8">RANDBETWEEN($C$28,$D$28)</f>
        <v>322</v>
      </c>
      <c r="D29">
        <v>162</v>
      </c>
      <c r="F29" t="str">
        <f>"-cspr "&amp;D29</f>
        <v>-cspr 162</v>
      </c>
    </row>
    <row r="30" spans="1:8">
      <c r="A30" t="s">
        <v>1503</v>
      </c>
      <c r="B30">
        <f t="shared" ca="1" si="7"/>
        <v>4</v>
      </c>
      <c r="C30">
        <f t="shared" ca="1" si="8"/>
        <v>398</v>
      </c>
      <c r="D30">
        <v>162</v>
      </c>
      <c r="F30" t="str">
        <f>F29&amp;"."&amp;D30</f>
        <v>-cspr 162.162</v>
      </c>
    </row>
    <row r="31" spans="1:8">
      <c r="A31" t="s">
        <v>1504</v>
      </c>
      <c r="B31">
        <f t="shared" ca="1" si="7"/>
        <v>3</v>
      </c>
      <c r="C31">
        <f t="shared" ca="1" si="8"/>
        <v>458</v>
      </c>
      <c r="D31">
        <v>162</v>
      </c>
      <c r="F31" t="str">
        <f t="shared" ref="F31:F48" si="9">F30&amp;"."&amp;D31</f>
        <v>-cspr 162.162.162</v>
      </c>
    </row>
    <row r="32" spans="1:8">
      <c r="A32" t="s">
        <v>1505</v>
      </c>
      <c r="B32">
        <f t="shared" ca="1" si="7"/>
        <v>17</v>
      </c>
      <c r="C32">
        <f t="shared" ca="1" si="8"/>
        <v>548</v>
      </c>
      <c r="D32">
        <v>162</v>
      </c>
      <c r="F32" t="str">
        <f t="shared" si="9"/>
        <v>-cspr 162.162.162.162</v>
      </c>
    </row>
    <row r="33" spans="1:6">
      <c r="A33" t="s">
        <v>1506</v>
      </c>
      <c r="B33">
        <f t="shared" ca="1" si="7"/>
        <v>14</v>
      </c>
      <c r="C33">
        <f t="shared" ca="1" si="8"/>
        <v>295</v>
      </c>
      <c r="D33">
        <v>162</v>
      </c>
      <c r="F33" t="str">
        <f t="shared" si="9"/>
        <v>-cspr 162.162.162.162.162</v>
      </c>
    </row>
    <row r="34" spans="1:6">
      <c r="A34" t="s">
        <v>1507</v>
      </c>
      <c r="B34">
        <f t="shared" ca="1" si="7"/>
        <v>21</v>
      </c>
      <c r="C34">
        <f t="shared" ca="1" si="8"/>
        <v>620</v>
      </c>
      <c r="D34">
        <v>162</v>
      </c>
      <c r="F34" t="str">
        <f t="shared" si="9"/>
        <v>-cspr 162.162.162.162.162.162</v>
      </c>
    </row>
    <row r="35" spans="1:6">
      <c r="A35" t="s">
        <v>1508</v>
      </c>
      <c r="B35">
        <f t="shared" ca="1" si="7"/>
        <v>12</v>
      </c>
      <c r="C35">
        <f t="shared" ca="1" si="8"/>
        <v>77</v>
      </c>
      <c r="D35">
        <v>162</v>
      </c>
      <c r="F35" t="str">
        <f t="shared" si="9"/>
        <v>-cspr 162.162.162.162.162.162.162</v>
      </c>
    </row>
    <row r="36" spans="1:6">
      <c r="A36" t="s">
        <v>1509</v>
      </c>
      <c r="B36">
        <f t="shared" ca="1" si="7"/>
        <v>6</v>
      </c>
      <c r="C36">
        <f t="shared" ca="1" si="8"/>
        <v>578</v>
      </c>
      <c r="D36">
        <v>162</v>
      </c>
      <c r="F36" t="str">
        <f t="shared" si="9"/>
        <v>-cspr 162.162.162.162.162.162.162.162</v>
      </c>
    </row>
    <row r="37" spans="1:6">
      <c r="A37" t="s">
        <v>1510</v>
      </c>
      <c r="B37">
        <f t="shared" ca="1" si="7"/>
        <v>2</v>
      </c>
      <c r="C37">
        <f t="shared" ca="1" si="8"/>
        <v>585</v>
      </c>
      <c r="D37">
        <v>162</v>
      </c>
      <c r="F37" t="str">
        <f t="shared" si="9"/>
        <v>-cspr 162.162.162.162.162.162.162.162.162</v>
      </c>
    </row>
    <row r="38" spans="1:6">
      <c r="A38" t="s">
        <v>1511</v>
      </c>
      <c r="B38">
        <f t="shared" ca="1" si="7"/>
        <v>0</v>
      </c>
      <c r="C38">
        <f t="shared" ca="1" si="8"/>
        <v>536</v>
      </c>
      <c r="D38">
        <v>162</v>
      </c>
      <c r="F38" t="str">
        <f t="shared" si="9"/>
        <v>-cspr 162.162.162.162.162.162.162.162.162.162</v>
      </c>
    </row>
    <row r="39" spans="1:6">
      <c r="A39" t="s">
        <v>1512</v>
      </c>
      <c r="B39">
        <f t="shared" ca="1" si="7"/>
        <v>16</v>
      </c>
      <c r="C39">
        <f t="shared" ca="1" si="8"/>
        <v>569</v>
      </c>
      <c r="D39">
        <v>162</v>
      </c>
      <c r="F39" t="str">
        <f t="shared" si="9"/>
        <v>-cspr 162.162.162.162.162.162.162.162.162.162.162</v>
      </c>
    </row>
    <row r="40" spans="1:6">
      <c r="A40" t="s">
        <v>1513</v>
      </c>
      <c r="B40">
        <f t="shared" ca="1" si="7"/>
        <v>10</v>
      </c>
      <c r="C40">
        <f t="shared" ca="1" si="8"/>
        <v>253</v>
      </c>
      <c r="D40">
        <v>162</v>
      </c>
      <c r="F40" t="str">
        <f t="shared" si="9"/>
        <v>-cspr 162.162.162.162.162.162.162.162.162.162.162.162</v>
      </c>
    </row>
    <row r="41" spans="1:6">
      <c r="A41" t="s">
        <v>1514</v>
      </c>
      <c r="B41">
        <f t="shared" ca="1" si="7"/>
        <v>12</v>
      </c>
      <c r="C41">
        <f t="shared" ca="1" si="8"/>
        <v>364</v>
      </c>
      <c r="D41">
        <v>162</v>
      </c>
      <c r="F41" t="str">
        <f t="shared" si="9"/>
        <v>-cspr 162.162.162.162.162.162.162.162.162.162.162.162.162</v>
      </c>
    </row>
    <row r="42" spans="1:6">
      <c r="A42" t="s">
        <v>1515</v>
      </c>
      <c r="B42">
        <f t="shared" ca="1" si="7"/>
        <v>0</v>
      </c>
      <c r="C42">
        <f t="shared" ca="1" si="8"/>
        <v>659</v>
      </c>
      <c r="D42">
        <v>162</v>
      </c>
      <c r="F42" t="str">
        <f t="shared" si="9"/>
        <v>-cspr 162.162.162.162.162.162.162.162.162.162.162.162.162.162</v>
      </c>
    </row>
    <row r="43" spans="1:6">
      <c r="A43" t="s">
        <v>1516</v>
      </c>
      <c r="B43">
        <f t="shared" ca="1" si="7"/>
        <v>7</v>
      </c>
      <c r="C43">
        <f t="shared" ca="1" si="8"/>
        <v>253</v>
      </c>
      <c r="D43">
        <v>162</v>
      </c>
      <c r="F43" t="str">
        <f t="shared" si="9"/>
        <v>-cspr 162.162.162.162.162.162.162.162.162.162.162.162.162.162.162</v>
      </c>
    </row>
    <row r="44" spans="1:6">
      <c r="A44" t="s">
        <v>1517</v>
      </c>
      <c r="B44">
        <f t="shared" ca="1" si="7"/>
        <v>15</v>
      </c>
      <c r="C44">
        <f t="shared" ca="1" si="8"/>
        <v>312</v>
      </c>
      <c r="D44">
        <v>162</v>
      </c>
      <c r="F44" t="str">
        <f t="shared" si="9"/>
        <v>-cspr 162.162.162.162.162.162.162.162.162.162.162.162.162.162.162.162</v>
      </c>
    </row>
    <row r="45" spans="1:6">
      <c r="A45" t="s">
        <v>1518</v>
      </c>
      <c r="B45">
        <f t="shared" ca="1" si="7"/>
        <v>16</v>
      </c>
      <c r="C45">
        <f t="shared" ca="1" si="8"/>
        <v>660</v>
      </c>
      <c r="D45">
        <v>162</v>
      </c>
      <c r="F45" t="str">
        <f t="shared" si="9"/>
        <v>-cspr 162.162.162.162.162.162.162.162.162.162.162.162.162.162.162.162.162</v>
      </c>
    </row>
    <row r="46" spans="1:6">
      <c r="A46" t="s">
        <v>1519</v>
      </c>
      <c r="B46">
        <f t="shared" ca="1" si="7"/>
        <v>6</v>
      </c>
      <c r="C46">
        <f t="shared" ca="1" si="8"/>
        <v>142</v>
      </c>
      <c r="D46">
        <v>162</v>
      </c>
      <c r="F46" t="str">
        <f t="shared" si="9"/>
        <v>-cspr 162.162.162.162.162.162.162.162.162.162.162.162.162.162.162.162.162.162</v>
      </c>
    </row>
    <row r="47" spans="1:6">
      <c r="A47" t="s">
        <v>1520</v>
      </c>
      <c r="B47">
        <f t="shared" ca="1" si="7"/>
        <v>10</v>
      </c>
      <c r="C47">
        <f t="shared" ca="1" si="8"/>
        <v>505</v>
      </c>
      <c r="D47">
        <v>162</v>
      </c>
      <c r="F47" t="str">
        <f t="shared" si="9"/>
        <v>-cspr 162.162.162.162.162.162.162.162.162.162.162.162.162.162.162.162.162.162.162</v>
      </c>
    </row>
    <row r="48" spans="1:6">
      <c r="A48" t="s">
        <v>1521</v>
      </c>
      <c r="B48">
        <f t="shared" ca="1" si="7"/>
        <v>21</v>
      </c>
      <c r="C48">
        <f t="shared" ca="1" si="8"/>
        <v>208</v>
      </c>
      <c r="D48">
        <v>162</v>
      </c>
      <c r="F48" t="str">
        <f t="shared" si="9"/>
        <v>-cspr 162.162.162.162.162.162.162.162.162.162.162.162.162.162.162.162.162.162.162.162</v>
      </c>
    </row>
    <row r="50" spans="1:6">
      <c r="A50" s="2" t="s">
        <v>1523</v>
      </c>
      <c r="D50">
        <v>6</v>
      </c>
    </row>
    <row r="51" spans="1:6">
      <c r="A51" t="s">
        <v>1502</v>
      </c>
      <c r="D51">
        <f t="shared" ref="D51:D64" ca="1" si="10">RANDBETWEEN(0,$D$50-1)</f>
        <v>4</v>
      </c>
      <c r="F51" t="str">
        <f ca="1">"-cspp "&amp;D51</f>
        <v>-cspp 4</v>
      </c>
    </row>
    <row r="52" spans="1:6">
      <c r="A52" t="s">
        <v>1503</v>
      </c>
      <c r="D52">
        <f t="shared" ca="1" si="10"/>
        <v>3</v>
      </c>
      <c r="F52" t="str">
        <f t="shared" ref="F52:F70" ca="1" si="11">F51&amp;"."&amp;D52</f>
        <v>-cspp 4.3</v>
      </c>
    </row>
    <row r="53" spans="1:6">
      <c r="A53" t="s">
        <v>1504</v>
      </c>
      <c r="D53">
        <f t="shared" ca="1" si="10"/>
        <v>5</v>
      </c>
      <c r="F53" t="str">
        <f t="shared" ca="1" si="11"/>
        <v>-cspp 4.3.5</v>
      </c>
    </row>
    <row r="54" spans="1:6">
      <c r="A54" t="s">
        <v>1505</v>
      </c>
      <c r="D54">
        <f t="shared" ca="1" si="10"/>
        <v>1</v>
      </c>
      <c r="F54" t="str">
        <f t="shared" ca="1" si="11"/>
        <v>-cspp 4.3.5.1</v>
      </c>
    </row>
    <row r="55" spans="1:6">
      <c r="A55" t="s">
        <v>1506</v>
      </c>
      <c r="D55">
        <f t="shared" ca="1" si="10"/>
        <v>0</v>
      </c>
      <c r="F55" t="str">
        <f t="shared" ca="1" si="11"/>
        <v>-cspp 4.3.5.1.0</v>
      </c>
    </row>
    <row r="56" spans="1:6">
      <c r="A56" t="s">
        <v>1507</v>
      </c>
      <c r="D56">
        <f t="shared" ca="1" si="10"/>
        <v>0</v>
      </c>
      <c r="F56" t="str">
        <f t="shared" ca="1" si="11"/>
        <v>-cspp 4.3.5.1.0.0</v>
      </c>
    </row>
    <row r="57" spans="1:6">
      <c r="A57" t="s">
        <v>1508</v>
      </c>
      <c r="D57">
        <f t="shared" ca="1" si="10"/>
        <v>5</v>
      </c>
      <c r="F57" t="str">
        <f t="shared" ca="1" si="11"/>
        <v>-cspp 4.3.5.1.0.0.5</v>
      </c>
    </row>
    <row r="58" spans="1:6">
      <c r="A58" t="s">
        <v>1509</v>
      </c>
      <c r="D58">
        <f t="shared" ca="1" si="10"/>
        <v>5</v>
      </c>
      <c r="F58" t="str">
        <f t="shared" ca="1" si="11"/>
        <v>-cspp 4.3.5.1.0.0.5.5</v>
      </c>
    </row>
    <row r="59" spans="1:6">
      <c r="A59" t="s">
        <v>1510</v>
      </c>
      <c r="D59">
        <f t="shared" ca="1" si="10"/>
        <v>1</v>
      </c>
      <c r="F59" t="str">
        <f t="shared" ca="1" si="11"/>
        <v>-cspp 4.3.5.1.0.0.5.5.1</v>
      </c>
    </row>
    <row r="60" spans="1:6">
      <c r="A60" t="s">
        <v>1511</v>
      </c>
      <c r="D60">
        <f t="shared" ca="1" si="10"/>
        <v>2</v>
      </c>
      <c r="F60" t="str">
        <f t="shared" ca="1" si="11"/>
        <v>-cspp 4.3.5.1.0.0.5.5.1.2</v>
      </c>
    </row>
    <row r="61" spans="1:6">
      <c r="A61" t="s">
        <v>1512</v>
      </c>
      <c r="D61">
        <f t="shared" ca="1" si="10"/>
        <v>0</v>
      </c>
      <c r="F61" t="str">
        <f t="shared" ca="1" si="11"/>
        <v>-cspp 4.3.5.1.0.0.5.5.1.2.0</v>
      </c>
    </row>
    <row r="62" spans="1:6">
      <c r="A62" t="s">
        <v>1513</v>
      </c>
      <c r="D62">
        <f t="shared" ca="1" si="10"/>
        <v>0</v>
      </c>
      <c r="F62" t="str">
        <f t="shared" ca="1" si="11"/>
        <v>-cspp 4.3.5.1.0.0.5.5.1.2.0.0</v>
      </c>
    </row>
    <row r="63" spans="1:6">
      <c r="A63" t="s">
        <v>1514</v>
      </c>
      <c r="D63">
        <f t="shared" ca="1" si="10"/>
        <v>5</v>
      </c>
      <c r="F63" t="str">
        <f t="shared" ca="1" si="11"/>
        <v>-cspp 4.3.5.1.0.0.5.5.1.2.0.0.5</v>
      </c>
    </row>
    <row r="64" spans="1:6">
      <c r="A64" t="s">
        <v>1515</v>
      </c>
      <c r="D64">
        <f t="shared" ca="1" si="10"/>
        <v>4</v>
      </c>
      <c r="F64" t="str">
        <f t="shared" ca="1" si="11"/>
        <v>-cspp 4.3.5.1.0.0.5.5.1.2.0.0.5.4</v>
      </c>
    </row>
    <row r="65" spans="1:6">
      <c r="A65" t="s">
        <v>1516</v>
      </c>
      <c r="D65">
        <f t="shared" ref="D65:D70" ca="1" si="12">RANDBETWEEN(0,$D$50)</f>
        <v>3</v>
      </c>
      <c r="F65" t="str">
        <f t="shared" ca="1" si="11"/>
        <v>-cspp 4.3.5.1.0.0.5.5.1.2.0.0.5.4.3</v>
      </c>
    </row>
    <row r="66" spans="1:6">
      <c r="A66" t="s">
        <v>1517</v>
      </c>
      <c r="D66">
        <f t="shared" ca="1" si="12"/>
        <v>2</v>
      </c>
      <c r="F66" t="str">
        <f t="shared" ca="1" si="11"/>
        <v>-cspp 4.3.5.1.0.0.5.5.1.2.0.0.5.4.3.2</v>
      </c>
    </row>
    <row r="67" spans="1:6">
      <c r="A67" t="s">
        <v>1518</v>
      </c>
      <c r="D67">
        <f t="shared" ca="1" si="12"/>
        <v>5</v>
      </c>
      <c r="F67" t="str">
        <f t="shared" ca="1" si="11"/>
        <v>-cspp 4.3.5.1.0.0.5.5.1.2.0.0.5.4.3.2.5</v>
      </c>
    </row>
    <row r="68" spans="1:6">
      <c r="A68" t="s">
        <v>1519</v>
      </c>
      <c r="D68">
        <f t="shared" ca="1" si="12"/>
        <v>5</v>
      </c>
      <c r="F68" t="str">
        <f t="shared" ca="1" si="11"/>
        <v>-cspp 4.3.5.1.0.0.5.5.1.2.0.0.5.4.3.2.5.5</v>
      </c>
    </row>
    <row r="69" spans="1:6">
      <c r="A69" t="s">
        <v>1520</v>
      </c>
      <c r="D69">
        <f t="shared" ca="1" si="12"/>
        <v>5</v>
      </c>
      <c r="F69" t="str">
        <f t="shared" ca="1" si="11"/>
        <v>-cspp 4.3.5.1.0.0.5.5.1.2.0.0.5.4.3.2.5.5.5</v>
      </c>
    </row>
    <row r="70" spans="1:6">
      <c r="A70" t="s">
        <v>1521</v>
      </c>
      <c r="D70">
        <f t="shared" ca="1" si="12"/>
        <v>5</v>
      </c>
      <c r="F70" t="str">
        <f t="shared" ca="1" si="11"/>
        <v>-cspp 4.3.5.1.0.0.5.5.1.2.0.0.5.4.3.2.5.5.5.5</v>
      </c>
    </row>
    <row r="79" spans="1:6">
      <c r="A79" s="1"/>
    </row>
  </sheetData>
  <pageMargins left="0.7" right="0.7" top="0.75" bottom="0.75" header="0.3" footer="0.3"/>
  <pageSetup orientation="portrait" horizontalDpi="4294967293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filterMode="1"/>
  <dimension ref="A1:W582"/>
  <sheetViews>
    <sheetView workbookViewId="0">
      <pane xSplit="2" ySplit="1" topLeftCell="L295" activePane="bottomRight" state="frozen"/>
      <selection pane="topRight" activeCell="C1" sqref="C1"/>
      <selection pane="bottomLeft" activeCell="A2" sqref="A2"/>
      <selection pane="bottomRight" activeCell="O523" sqref="O523"/>
    </sheetView>
  </sheetViews>
  <sheetFormatPr defaultRowHeight="15"/>
  <cols>
    <col min="2" max="2" width="23.85546875" bestFit="1" customWidth="1"/>
    <col min="3" max="6" width="4" customWidth="1"/>
    <col min="7" max="7" width="3.7109375" customWidth="1"/>
    <col min="8" max="8" width="29" bestFit="1" customWidth="1"/>
    <col min="9" max="9" width="31.42578125" hidden="1" customWidth="1"/>
    <col min="10" max="10" width="28.28515625" hidden="1" customWidth="1"/>
    <col min="11" max="11" width="15.85546875" hidden="1" customWidth="1"/>
    <col min="12" max="12" width="15.85546875" customWidth="1"/>
    <col min="13" max="13" width="9" customWidth="1"/>
    <col min="14" max="14" width="17.28515625" customWidth="1"/>
    <col min="15" max="15" width="15.85546875" customWidth="1"/>
    <col min="16" max="16" width="27.28515625" bestFit="1" customWidth="1"/>
    <col min="17" max="18" width="15.85546875" customWidth="1"/>
    <col min="19" max="19" width="44.85546875" bestFit="1" customWidth="1"/>
  </cols>
  <sheetData>
    <row r="1" spans="1:23">
      <c r="A1" s="2" t="s">
        <v>1562</v>
      </c>
      <c r="B1" s="2" t="s">
        <v>1563</v>
      </c>
      <c r="C1" s="2" t="s">
        <v>1564</v>
      </c>
      <c r="H1" s="2" t="s">
        <v>1561</v>
      </c>
      <c r="K1" s="1" t="s">
        <v>1657</v>
      </c>
      <c r="L1" t="s">
        <v>1663</v>
      </c>
      <c r="M1" t="s">
        <v>1682</v>
      </c>
      <c r="N1" t="s">
        <v>1686</v>
      </c>
      <c r="O1" t="s">
        <v>1683</v>
      </c>
      <c r="P1" t="s">
        <v>1661</v>
      </c>
      <c r="Q1" t="s">
        <v>1680</v>
      </c>
    </row>
    <row r="2" spans="1:23" hidden="1">
      <c r="A2">
        <v>162</v>
      </c>
      <c r="B2" t="s">
        <v>403</v>
      </c>
      <c r="C2">
        <v>38</v>
      </c>
      <c r="D2">
        <v>70</v>
      </c>
      <c r="E2">
        <v>32</v>
      </c>
      <c r="H2" t="s">
        <v>1565</v>
      </c>
      <c r="I2" t="s">
        <v>1566</v>
      </c>
      <c r="J2" t="s">
        <v>1567</v>
      </c>
      <c r="M2" t="s">
        <v>1685</v>
      </c>
      <c r="O2" t="s">
        <v>1685</v>
      </c>
      <c r="S2" t="s">
        <v>264</v>
      </c>
      <c r="T2">
        <v>0</v>
      </c>
      <c r="W2" t="s">
        <v>1573</v>
      </c>
    </row>
    <row r="3" spans="1:23">
      <c r="A3">
        <v>163</v>
      </c>
      <c r="B3" t="s">
        <v>404</v>
      </c>
      <c r="C3">
        <v>20</v>
      </c>
      <c r="H3" t="s">
        <v>1568</v>
      </c>
      <c r="L3" t="s">
        <v>1659</v>
      </c>
      <c r="M3" t="s">
        <v>1685</v>
      </c>
      <c r="N3" t="s">
        <v>1684</v>
      </c>
      <c r="O3" t="s">
        <v>1685</v>
      </c>
      <c r="P3" t="s">
        <v>1689</v>
      </c>
      <c r="Q3" t="str">
        <f>B3&amp;" - "&amp;L3</f>
        <v>aerith-child - FF7</v>
      </c>
      <c r="S3" t="s">
        <v>265</v>
      </c>
      <c r="T3">
        <v>1</v>
      </c>
      <c r="W3" t="s">
        <v>1574</v>
      </c>
    </row>
    <row r="4" spans="1:23">
      <c r="A4">
        <v>164</v>
      </c>
      <c r="B4" t="s">
        <v>405</v>
      </c>
      <c r="C4">
        <v>20</v>
      </c>
      <c r="H4" t="s">
        <v>1568</v>
      </c>
      <c r="L4" t="s">
        <v>1659</v>
      </c>
      <c r="M4" t="s">
        <v>1685</v>
      </c>
      <c r="N4" t="s">
        <v>1684</v>
      </c>
      <c r="O4" t="s">
        <v>1685</v>
      </c>
      <c r="P4" t="s">
        <v>1689</v>
      </c>
      <c r="Q4" t="str">
        <f>B4&amp;" - "&amp;L4</f>
        <v>aerith-dress - FF7</v>
      </c>
      <c r="S4" t="s">
        <v>266</v>
      </c>
      <c r="T4">
        <v>2</v>
      </c>
      <c r="W4" t="s">
        <v>1575</v>
      </c>
    </row>
    <row r="5" spans="1:23" hidden="1">
      <c r="A5">
        <v>165</v>
      </c>
      <c r="B5" t="s">
        <v>406</v>
      </c>
      <c r="G5" t="s">
        <v>1555</v>
      </c>
      <c r="S5" t="s">
        <v>267</v>
      </c>
      <c r="T5">
        <v>3</v>
      </c>
      <c r="W5" t="s">
        <v>1576</v>
      </c>
    </row>
    <row r="6" spans="1:23" hidden="1">
      <c r="A6">
        <v>166</v>
      </c>
      <c r="B6" t="s">
        <v>407</v>
      </c>
      <c r="C6">
        <v>35</v>
      </c>
      <c r="D6">
        <v>106</v>
      </c>
      <c r="H6" t="s">
        <v>1569</v>
      </c>
      <c r="I6" t="s">
        <v>1570</v>
      </c>
      <c r="S6" t="s">
        <v>268</v>
      </c>
      <c r="T6">
        <v>4</v>
      </c>
      <c r="W6" t="s">
        <v>1577</v>
      </c>
    </row>
    <row r="7" spans="1:23" hidden="1">
      <c r="A7">
        <v>167</v>
      </c>
      <c r="B7" t="s">
        <v>408</v>
      </c>
      <c r="C7">
        <v>127</v>
      </c>
      <c r="D7">
        <v>104</v>
      </c>
      <c r="H7" t="s">
        <v>1571</v>
      </c>
      <c r="I7" t="s">
        <v>1572</v>
      </c>
      <c r="S7" t="s">
        <v>269</v>
      </c>
      <c r="T7">
        <v>5</v>
      </c>
      <c r="W7" t="s">
        <v>1578</v>
      </c>
    </row>
    <row r="8" spans="1:23" hidden="1">
      <c r="A8">
        <v>168</v>
      </c>
      <c r="B8" t="s">
        <v>409</v>
      </c>
      <c r="C8">
        <v>3</v>
      </c>
      <c r="H8" t="s">
        <v>1576</v>
      </c>
      <c r="M8" t="s">
        <v>1685</v>
      </c>
      <c r="O8" t="s">
        <v>1685</v>
      </c>
      <c r="S8" t="s">
        <v>270</v>
      </c>
      <c r="T8">
        <v>6</v>
      </c>
      <c r="W8" t="s">
        <v>1579</v>
      </c>
    </row>
    <row r="9" spans="1:23" hidden="1">
      <c r="A9">
        <v>169</v>
      </c>
      <c r="B9" t="s">
        <v>410</v>
      </c>
      <c r="S9" t="s">
        <v>271</v>
      </c>
      <c r="T9">
        <v>20</v>
      </c>
      <c r="U9">
        <f>FIND("""",S9,1)</f>
        <v>11</v>
      </c>
      <c r="V9">
        <f>FIND("""",S9,U9+1)</f>
        <v>30</v>
      </c>
      <c r="W9" t="str">
        <f>MID(S9,U9+1,V9-U9-1)</f>
        <v>Aerith-HoxNorf-FF7</v>
      </c>
    </row>
    <row r="10" spans="1:23" hidden="1">
      <c r="A10">
        <v>170</v>
      </c>
      <c r="B10" t="s">
        <v>411</v>
      </c>
      <c r="S10" t="s">
        <v>272</v>
      </c>
      <c r="T10">
        <v>21</v>
      </c>
      <c r="U10">
        <f t="shared" ref="U10:U73" si="0">FIND("""",S10,1)</f>
        <v>11</v>
      </c>
      <c r="V10">
        <f t="shared" ref="V10:V73" si="1">FIND("""",S10,U10+1)</f>
        <v>33</v>
      </c>
      <c r="W10" t="str">
        <f t="shared" ref="W10:W73" si="2">MID(S10,U10+1,V10-U10-1)</f>
        <v>Ayla-CrumpledMedal-CT</v>
      </c>
    </row>
    <row r="11" spans="1:23" hidden="1">
      <c r="A11">
        <v>171</v>
      </c>
      <c r="B11" t="s">
        <v>412</v>
      </c>
      <c r="S11" t="s">
        <v>273</v>
      </c>
      <c r="T11">
        <v>22</v>
      </c>
      <c r="U11">
        <f t="shared" si="0"/>
        <v>11</v>
      </c>
      <c r="V11">
        <f t="shared" si="1"/>
        <v>30</v>
      </c>
      <c r="W11" t="str">
        <f t="shared" si="2"/>
        <v>Baram-PocoLoco-FF6</v>
      </c>
    </row>
    <row r="12" spans="1:23" hidden="1">
      <c r="A12">
        <v>172</v>
      </c>
      <c r="B12" t="s">
        <v>413</v>
      </c>
      <c r="S12" t="s">
        <v>274</v>
      </c>
      <c r="T12">
        <v>23</v>
      </c>
      <c r="U12">
        <f t="shared" si="0"/>
        <v>11</v>
      </c>
      <c r="V12">
        <f t="shared" si="1"/>
        <v>29</v>
      </c>
      <c r="W12" t="str">
        <f t="shared" si="2"/>
        <v>Barret-CtrlxZ-FF7</v>
      </c>
    </row>
    <row r="13" spans="1:23" hidden="1">
      <c r="A13">
        <v>173</v>
      </c>
      <c r="B13" t="s">
        <v>414</v>
      </c>
      <c r="S13" t="s">
        <v>275</v>
      </c>
      <c r="T13">
        <v>24</v>
      </c>
      <c r="U13">
        <f t="shared" si="0"/>
        <v>11</v>
      </c>
      <c r="V13">
        <f t="shared" si="1"/>
        <v>29</v>
      </c>
      <c r="W13" t="str">
        <f t="shared" si="2"/>
        <v>Bartz-HoxNorf-FF5</v>
      </c>
    </row>
    <row r="14" spans="1:23" hidden="1">
      <c r="A14">
        <v>174</v>
      </c>
      <c r="B14" t="s">
        <v>415</v>
      </c>
      <c r="S14" t="s">
        <v>276</v>
      </c>
      <c r="T14">
        <v>25</v>
      </c>
      <c r="U14">
        <f t="shared" si="0"/>
        <v>11</v>
      </c>
      <c r="V14">
        <f t="shared" si="1"/>
        <v>32</v>
      </c>
      <c r="W14" t="str">
        <f t="shared" si="2"/>
        <v>Berserker-Badass-FF5</v>
      </c>
    </row>
    <row r="15" spans="1:23">
      <c r="A15">
        <v>175</v>
      </c>
      <c r="B15" t="s">
        <v>416</v>
      </c>
      <c r="C15">
        <v>28</v>
      </c>
      <c r="D15">
        <v>85</v>
      </c>
      <c r="E15">
        <v>90</v>
      </c>
      <c r="H15" t="s">
        <v>1580</v>
      </c>
      <c r="I15" t="s">
        <v>1581</v>
      </c>
      <c r="J15" t="s">
        <v>1582</v>
      </c>
      <c r="L15" t="s">
        <v>1669</v>
      </c>
      <c r="M15" t="s">
        <v>1681</v>
      </c>
      <c r="N15" t="str">
        <f>M15</f>
        <v>sprite DB</v>
      </c>
      <c r="O15" t="s">
        <v>1684</v>
      </c>
      <c r="P15" t="s">
        <v>1662</v>
      </c>
      <c r="Q15" t="str">
        <f>B15&amp;" - "&amp;L15</f>
        <v>antlion - FF4</v>
      </c>
      <c r="S15" t="s">
        <v>277</v>
      </c>
      <c r="T15">
        <v>26</v>
      </c>
      <c r="U15">
        <f t="shared" si="0"/>
        <v>11</v>
      </c>
      <c r="V15">
        <f t="shared" si="1"/>
        <v>33</v>
      </c>
      <c r="W15" t="str">
        <f t="shared" si="2"/>
        <v>Bird-JamesWhite89-FF6</v>
      </c>
    </row>
    <row r="16" spans="1:23" hidden="1">
      <c r="A16">
        <v>176</v>
      </c>
      <c r="B16" t="s">
        <v>417</v>
      </c>
      <c r="S16" t="s">
        <v>278</v>
      </c>
      <c r="T16">
        <v>27</v>
      </c>
      <c r="U16">
        <f t="shared" si="0"/>
        <v>11</v>
      </c>
      <c r="V16">
        <f t="shared" si="1"/>
        <v>33</v>
      </c>
      <c r="W16" t="str">
        <f t="shared" si="2"/>
        <v>Boco-JamesWhite89-FF5</v>
      </c>
    </row>
    <row r="17" spans="1:23" hidden="1">
      <c r="A17">
        <v>177</v>
      </c>
      <c r="B17" t="s">
        <v>418</v>
      </c>
      <c r="S17" t="s">
        <v>279</v>
      </c>
      <c r="T17">
        <v>28</v>
      </c>
      <c r="U17">
        <f t="shared" si="0"/>
        <v>11</v>
      </c>
      <c r="V17">
        <f t="shared" si="1"/>
        <v>33</v>
      </c>
      <c r="W17" t="str">
        <f t="shared" si="2"/>
        <v>Bomb-JamesWhite89-FF6</v>
      </c>
    </row>
    <row r="18" spans="1:23" hidden="1">
      <c r="A18">
        <v>178</v>
      </c>
      <c r="B18" t="s">
        <v>419</v>
      </c>
      <c r="S18" t="s">
        <v>280</v>
      </c>
      <c r="T18">
        <v>29</v>
      </c>
      <c r="U18">
        <f t="shared" si="0"/>
        <v>11</v>
      </c>
      <c r="V18">
        <f t="shared" si="1"/>
        <v>35</v>
      </c>
      <c r="W18" t="str">
        <f t="shared" si="2"/>
        <v>Bubble Dragon-Badass-BB</v>
      </c>
    </row>
    <row r="19" spans="1:23" hidden="1">
      <c r="A19">
        <v>179</v>
      </c>
      <c r="B19" t="s">
        <v>420</v>
      </c>
      <c r="S19" t="s">
        <v>281</v>
      </c>
      <c r="T19">
        <v>30</v>
      </c>
      <c r="U19">
        <f t="shared" si="0"/>
        <v>11</v>
      </c>
      <c r="V19">
        <f t="shared" si="1"/>
        <v>47</v>
      </c>
      <c r="W19" t="str">
        <f t="shared" si="2"/>
        <v>Cecil (Dark Knight)-MetroidQuest-EC</v>
      </c>
    </row>
    <row r="20" spans="1:23" hidden="1">
      <c r="A20">
        <v>180</v>
      </c>
      <c r="B20" t="s">
        <v>421</v>
      </c>
      <c r="S20" t="s">
        <v>282</v>
      </c>
      <c r="T20">
        <v>31</v>
      </c>
      <c r="U20">
        <f t="shared" si="0"/>
        <v>11</v>
      </c>
      <c r="V20">
        <f t="shared" si="1"/>
        <v>43</v>
      </c>
      <c r="W20" t="str">
        <f t="shared" si="2"/>
        <v>Cecil (Paladin)-MetroidQuest-EC</v>
      </c>
    </row>
    <row r="21" spans="1:23" hidden="1">
      <c r="A21">
        <v>181</v>
      </c>
      <c r="B21" t="s">
        <v>422</v>
      </c>
      <c r="S21" t="s">
        <v>283</v>
      </c>
      <c r="T21">
        <v>32</v>
      </c>
      <c r="U21">
        <f t="shared" si="0"/>
        <v>11</v>
      </c>
      <c r="V21">
        <f t="shared" si="1"/>
        <v>32</v>
      </c>
      <c r="W21" t="str">
        <f t="shared" si="2"/>
        <v>Chancellor-Zozma-FF6</v>
      </c>
    </row>
    <row r="22" spans="1:23" hidden="1">
      <c r="A22">
        <v>182</v>
      </c>
      <c r="B22" t="s">
        <v>423</v>
      </c>
      <c r="S22" t="s">
        <v>284</v>
      </c>
      <c r="T22">
        <v>33</v>
      </c>
      <c r="U22">
        <f t="shared" si="0"/>
        <v>11</v>
      </c>
      <c r="V22">
        <f t="shared" si="1"/>
        <v>27</v>
      </c>
      <c r="W22" t="str">
        <f t="shared" si="2"/>
        <v>Cid-HoxNorf-FF4</v>
      </c>
    </row>
    <row r="23" spans="1:23">
      <c r="A23">
        <v>183</v>
      </c>
      <c r="B23" t="s">
        <v>424</v>
      </c>
      <c r="C23">
        <v>41</v>
      </c>
      <c r="H23" t="s">
        <v>1583</v>
      </c>
      <c r="L23" t="s">
        <v>1658</v>
      </c>
      <c r="M23" t="s">
        <v>1681</v>
      </c>
      <c r="N23" t="str">
        <f>M23</f>
        <v>sprite DB</v>
      </c>
      <c r="O23" t="s">
        <v>1685</v>
      </c>
      <c r="P23" t="s">
        <v>1662</v>
      </c>
      <c r="Q23" t="str">
        <f>B23&amp;" - "&amp;L23</f>
        <v>arvis - FF6</v>
      </c>
      <c r="S23" t="s">
        <v>285</v>
      </c>
      <c r="T23">
        <v>34</v>
      </c>
      <c r="U23">
        <f t="shared" si="0"/>
        <v>11</v>
      </c>
      <c r="V23">
        <f t="shared" si="1"/>
        <v>32</v>
      </c>
      <c r="W23" t="str">
        <f t="shared" si="2"/>
        <v>Cirno-HoxNorf-Touhou</v>
      </c>
    </row>
    <row r="24" spans="1:23" hidden="1">
      <c r="A24">
        <v>184</v>
      </c>
      <c r="B24" t="s">
        <v>425</v>
      </c>
      <c r="S24" t="s">
        <v>286</v>
      </c>
      <c r="T24">
        <v>35</v>
      </c>
      <c r="U24">
        <f t="shared" si="0"/>
        <v>11</v>
      </c>
      <c r="V24">
        <f t="shared" si="1"/>
        <v>29</v>
      </c>
      <c r="W24" t="str">
        <f t="shared" si="2"/>
        <v>Cloud-HoxNorf-FF7</v>
      </c>
    </row>
    <row r="25" spans="1:23" hidden="1">
      <c r="A25">
        <v>185</v>
      </c>
      <c r="B25" t="s">
        <v>426</v>
      </c>
      <c r="S25" t="s">
        <v>287</v>
      </c>
      <c r="T25">
        <v>36</v>
      </c>
      <c r="U25">
        <f t="shared" si="0"/>
        <v>11</v>
      </c>
      <c r="V25">
        <f t="shared" si="1"/>
        <v>27</v>
      </c>
      <c r="W25" t="str">
        <f t="shared" si="2"/>
        <v>Crono-Badass-CT</v>
      </c>
    </row>
    <row r="26" spans="1:23">
      <c r="A26">
        <v>186</v>
      </c>
      <c r="B26" t="s">
        <v>427</v>
      </c>
      <c r="C26">
        <v>45</v>
      </c>
      <c r="D26">
        <v>66</v>
      </c>
      <c r="E26">
        <v>122</v>
      </c>
      <c r="H26" t="s">
        <v>1584</v>
      </c>
      <c r="I26" t="s">
        <v>1585</v>
      </c>
      <c r="J26" t="s">
        <v>1586</v>
      </c>
      <c r="L26" t="s">
        <v>1658</v>
      </c>
      <c r="M26" t="s">
        <v>1681</v>
      </c>
      <c r="N26" t="str">
        <f>M26</f>
        <v>sprite DB</v>
      </c>
      <c r="O26" t="s">
        <v>1685</v>
      </c>
      <c r="P26" t="s">
        <v>1662</v>
      </c>
      <c r="Q26" t="str">
        <f>B26&amp;" - "&amp;L26</f>
        <v>atma - FF6</v>
      </c>
      <c r="S26" t="s">
        <v>288</v>
      </c>
      <c r="T26">
        <v>37</v>
      </c>
      <c r="U26">
        <f t="shared" si="0"/>
        <v>11</v>
      </c>
      <c r="V26">
        <f t="shared" si="1"/>
        <v>29</v>
      </c>
      <c r="W26" t="str">
        <f t="shared" si="2"/>
        <v>Devout-HoxNorf-FF</v>
      </c>
    </row>
    <row r="27" spans="1:23" hidden="1">
      <c r="A27">
        <v>187</v>
      </c>
      <c r="B27" t="s">
        <v>428</v>
      </c>
      <c r="S27" t="s">
        <v>289</v>
      </c>
      <c r="T27">
        <v>38</v>
      </c>
      <c r="U27">
        <f t="shared" si="0"/>
        <v>11</v>
      </c>
      <c r="V27">
        <f t="shared" si="1"/>
        <v>27</v>
      </c>
      <c r="W27" t="str">
        <f t="shared" si="2"/>
        <v>Edea-CtrlxZ-FF8</v>
      </c>
    </row>
    <row r="28" spans="1:23" hidden="1">
      <c r="A28">
        <v>188</v>
      </c>
      <c r="B28" t="s">
        <v>429</v>
      </c>
      <c r="S28" t="s">
        <v>290</v>
      </c>
      <c r="T28">
        <v>39</v>
      </c>
      <c r="U28">
        <f t="shared" si="0"/>
        <v>11</v>
      </c>
      <c r="V28">
        <f t="shared" si="1"/>
        <v>29</v>
      </c>
      <c r="W28" t="str">
        <f t="shared" si="2"/>
        <v>Edge-PocoLoco-FF4</v>
      </c>
    </row>
    <row r="29" spans="1:23" hidden="1">
      <c r="A29">
        <v>189</v>
      </c>
      <c r="B29" t="s">
        <v>430</v>
      </c>
      <c r="G29" t="s">
        <v>1556</v>
      </c>
      <c r="S29" t="s">
        <v>291</v>
      </c>
      <c r="T29">
        <v>40</v>
      </c>
      <c r="U29">
        <f t="shared" si="0"/>
        <v>11</v>
      </c>
      <c r="V29">
        <f t="shared" si="1"/>
        <v>34</v>
      </c>
      <c r="W29" t="str">
        <f t="shared" si="2"/>
        <v>Edward-SpoonyBard-FFRK</v>
      </c>
    </row>
    <row r="30" spans="1:23" hidden="1">
      <c r="A30">
        <v>190</v>
      </c>
      <c r="B30" t="s">
        <v>431</v>
      </c>
      <c r="S30" t="s">
        <v>292</v>
      </c>
      <c r="T30">
        <v>41</v>
      </c>
      <c r="U30">
        <f t="shared" si="0"/>
        <v>11</v>
      </c>
      <c r="V30">
        <f t="shared" si="1"/>
        <v>28</v>
      </c>
      <c r="W30" t="str">
        <f t="shared" si="2"/>
        <v>Edward-Zozma-FF4</v>
      </c>
    </row>
    <row r="31" spans="1:23" hidden="1">
      <c r="A31">
        <v>191</v>
      </c>
      <c r="B31" t="s">
        <v>432</v>
      </c>
      <c r="S31" t="s">
        <v>293</v>
      </c>
      <c r="T31">
        <v>42</v>
      </c>
      <c r="U31">
        <f t="shared" si="0"/>
        <v>11</v>
      </c>
      <c r="V31">
        <f t="shared" si="1"/>
        <v>29</v>
      </c>
      <c r="W31" t="str">
        <f t="shared" si="2"/>
        <v>Eiko-PocoLoco-FF9</v>
      </c>
    </row>
    <row r="32" spans="1:23" hidden="1">
      <c r="A32">
        <v>192</v>
      </c>
      <c r="B32" t="s">
        <v>433</v>
      </c>
      <c r="S32" t="s">
        <v>294</v>
      </c>
      <c r="T32">
        <v>43</v>
      </c>
      <c r="U32">
        <f t="shared" si="0"/>
        <v>11</v>
      </c>
      <c r="V32">
        <f t="shared" si="1"/>
        <v>33</v>
      </c>
      <c r="W32" t="str">
        <f t="shared" si="2"/>
        <v>Eiko-ScarabEnigma-FF9</v>
      </c>
    </row>
    <row r="33" spans="1:23" hidden="1">
      <c r="A33">
        <v>193</v>
      </c>
      <c r="B33" t="s">
        <v>434</v>
      </c>
      <c r="S33" t="s">
        <v>295</v>
      </c>
      <c r="T33">
        <v>44</v>
      </c>
      <c r="U33">
        <f t="shared" si="0"/>
        <v>11</v>
      </c>
      <c r="V33">
        <f t="shared" si="1"/>
        <v>31</v>
      </c>
      <c r="W33" t="str">
        <f t="shared" si="2"/>
        <v>Elarra-HoxNorf-FFRK</v>
      </c>
    </row>
    <row r="34" spans="1:23" hidden="1">
      <c r="A34">
        <v>194</v>
      </c>
      <c r="B34" t="s">
        <v>435</v>
      </c>
      <c r="G34" t="s">
        <v>1557</v>
      </c>
      <c r="S34" t="s">
        <v>296</v>
      </c>
      <c r="T34">
        <v>45</v>
      </c>
      <c r="U34">
        <f t="shared" si="0"/>
        <v>11</v>
      </c>
      <c r="V34">
        <f t="shared" si="1"/>
        <v>30</v>
      </c>
      <c r="W34" t="str">
        <f t="shared" si="2"/>
        <v>Exdeath-CtrlxZ-FF5</v>
      </c>
    </row>
    <row r="35" spans="1:23" hidden="1">
      <c r="A35">
        <v>195</v>
      </c>
      <c r="B35" t="s">
        <v>436</v>
      </c>
      <c r="S35" t="s">
        <v>297</v>
      </c>
      <c r="T35">
        <v>46</v>
      </c>
      <c r="U35">
        <f t="shared" si="0"/>
        <v>11</v>
      </c>
      <c r="V35">
        <f t="shared" si="1"/>
        <v>37</v>
      </c>
      <c r="W35" t="str">
        <f t="shared" si="2"/>
        <v>Faris (Summoner)-FEOK-FF5</v>
      </c>
    </row>
    <row r="36" spans="1:23" hidden="1">
      <c r="A36">
        <v>196</v>
      </c>
      <c r="B36" t="s">
        <v>437</v>
      </c>
      <c r="S36" t="s">
        <v>298</v>
      </c>
      <c r="T36">
        <v>47</v>
      </c>
      <c r="U36">
        <f t="shared" si="0"/>
        <v>11</v>
      </c>
      <c r="V36">
        <f t="shared" si="1"/>
        <v>29</v>
      </c>
      <c r="W36" t="str">
        <f t="shared" si="2"/>
        <v>Faris-HoxNorf-FF5</v>
      </c>
    </row>
    <row r="37" spans="1:23" hidden="1">
      <c r="A37">
        <v>197</v>
      </c>
      <c r="B37" t="s">
        <v>438</v>
      </c>
      <c r="G37" t="s">
        <v>1558</v>
      </c>
      <c r="S37" t="s">
        <v>299</v>
      </c>
      <c r="T37">
        <v>48</v>
      </c>
      <c r="U37">
        <f t="shared" si="0"/>
        <v>11</v>
      </c>
      <c r="V37">
        <f t="shared" si="1"/>
        <v>33</v>
      </c>
      <c r="W37" t="str">
        <f t="shared" si="2"/>
        <v>Fish-ScarabEnigma-FF6</v>
      </c>
    </row>
    <row r="38" spans="1:23" hidden="1">
      <c r="A38">
        <v>198</v>
      </c>
      <c r="B38" t="s">
        <v>439</v>
      </c>
      <c r="S38" t="s">
        <v>300</v>
      </c>
      <c r="T38">
        <v>49</v>
      </c>
      <c r="U38">
        <f t="shared" si="0"/>
        <v>11</v>
      </c>
      <c r="V38">
        <f t="shared" si="1"/>
        <v>29</v>
      </c>
      <c r="W38" t="str">
        <f t="shared" si="2"/>
        <v>Freya-HoxNorf-FF9</v>
      </c>
    </row>
    <row r="39" spans="1:23" hidden="1">
      <c r="A39">
        <v>199</v>
      </c>
      <c r="B39" t="s">
        <v>440</v>
      </c>
      <c r="S39" t="s">
        <v>301</v>
      </c>
      <c r="T39">
        <v>50</v>
      </c>
      <c r="U39">
        <f t="shared" si="0"/>
        <v>11</v>
      </c>
      <c r="V39">
        <f t="shared" si="1"/>
        <v>26</v>
      </c>
      <c r="W39" t="str">
        <f t="shared" si="2"/>
        <v>Frog-Badass-CT</v>
      </c>
    </row>
    <row r="40" spans="1:23" hidden="1">
      <c r="A40">
        <v>200</v>
      </c>
      <c r="B40" t="s">
        <v>441</v>
      </c>
      <c r="S40" t="s">
        <v>302</v>
      </c>
      <c r="T40">
        <v>51</v>
      </c>
      <c r="U40">
        <f t="shared" si="0"/>
        <v>11</v>
      </c>
      <c r="V40">
        <f t="shared" si="1"/>
        <v>32</v>
      </c>
      <c r="W40" t="str">
        <f t="shared" si="2"/>
        <v>Frog-MetroidQuest-EC</v>
      </c>
    </row>
    <row r="41" spans="1:23" hidden="1">
      <c r="A41">
        <v>201</v>
      </c>
      <c r="B41" t="s">
        <v>442</v>
      </c>
      <c r="G41" t="s">
        <v>1559</v>
      </c>
      <c r="S41" t="s">
        <v>303</v>
      </c>
      <c r="T41">
        <v>52</v>
      </c>
      <c r="U41">
        <f t="shared" si="0"/>
        <v>11</v>
      </c>
      <c r="V41">
        <f t="shared" si="1"/>
        <v>27</v>
      </c>
      <c r="W41" t="str">
        <f t="shared" si="2"/>
        <v>FuSoYa-FEOK-FF4</v>
      </c>
    </row>
    <row r="42" spans="1:23" hidden="1">
      <c r="A42">
        <v>202</v>
      </c>
      <c r="B42" t="s">
        <v>443</v>
      </c>
      <c r="S42" t="s">
        <v>304</v>
      </c>
      <c r="T42">
        <v>53</v>
      </c>
      <c r="U42">
        <f t="shared" si="0"/>
        <v>11</v>
      </c>
      <c r="V42">
        <f t="shared" si="1"/>
        <v>29</v>
      </c>
      <c r="W42" t="str">
        <f t="shared" si="2"/>
        <v>Galuf-HoxNorf-FF5</v>
      </c>
    </row>
    <row r="43" spans="1:23" hidden="1">
      <c r="A43">
        <v>203</v>
      </c>
      <c r="B43" t="s">
        <v>444</v>
      </c>
      <c r="G43">
        <v>24</v>
      </c>
      <c r="S43" t="s">
        <v>305</v>
      </c>
      <c r="T43">
        <v>54</v>
      </c>
      <c r="U43">
        <f t="shared" si="0"/>
        <v>11</v>
      </c>
      <c r="V43">
        <f t="shared" si="1"/>
        <v>41</v>
      </c>
      <c r="W43" t="str">
        <f t="shared" si="2"/>
        <v>Gardevoir-LoneRedMage-Pokemon</v>
      </c>
    </row>
    <row r="44" spans="1:23" hidden="1">
      <c r="A44">
        <v>204</v>
      </c>
      <c r="B44" t="s">
        <v>445</v>
      </c>
      <c r="S44" t="s">
        <v>306</v>
      </c>
      <c r="T44">
        <v>55</v>
      </c>
      <c r="U44">
        <f t="shared" si="0"/>
        <v>11</v>
      </c>
      <c r="V44">
        <f t="shared" si="1"/>
        <v>30</v>
      </c>
      <c r="W44" t="str">
        <f t="shared" si="2"/>
        <v>Garnet-HoxNorf-FF9</v>
      </c>
    </row>
    <row r="45" spans="1:23" hidden="1">
      <c r="A45">
        <v>205</v>
      </c>
      <c r="B45" t="s">
        <v>446</v>
      </c>
      <c r="S45" t="s">
        <v>307</v>
      </c>
      <c r="T45">
        <v>56</v>
      </c>
      <c r="U45">
        <f t="shared" si="0"/>
        <v>11</v>
      </c>
      <c r="V45">
        <f t="shared" si="1"/>
        <v>32</v>
      </c>
      <c r="W45" t="str">
        <f t="shared" si="2"/>
        <v>Gau (Suit)-Zozma-FF6</v>
      </c>
    </row>
    <row r="46" spans="1:23" hidden="1">
      <c r="A46">
        <v>206</v>
      </c>
      <c r="B46" t="s">
        <v>447</v>
      </c>
      <c r="S46" t="s">
        <v>308</v>
      </c>
      <c r="T46">
        <v>57</v>
      </c>
      <c r="U46">
        <f t="shared" si="0"/>
        <v>11</v>
      </c>
      <c r="V46">
        <f t="shared" si="1"/>
        <v>45</v>
      </c>
      <c r="W46" t="str">
        <f t="shared" si="2"/>
        <v>General Leo (Full)-SpoonyBard-FF6</v>
      </c>
    </row>
    <row r="47" spans="1:23">
      <c r="A47">
        <v>207</v>
      </c>
      <c r="B47" t="s">
        <v>448</v>
      </c>
      <c r="C47">
        <v>20</v>
      </c>
      <c r="D47">
        <v>41</v>
      </c>
      <c r="H47" t="s">
        <v>1568</v>
      </c>
      <c r="I47" t="s">
        <v>1583</v>
      </c>
      <c r="L47" t="s">
        <v>1670</v>
      </c>
      <c r="M47" t="s">
        <v>1681</v>
      </c>
      <c r="N47" t="s">
        <v>1681</v>
      </c>
      <c r="O47" t="s">
        <v>1685</v>
      </c>
      <c r="P47" t="s">
        <v>1662</v>
      </c>
      <c r="Q47" t="str">
        <f>B47&amp;" - "&amp;L47</f>
        <v>beatrix - FF9</v>
      </c>
      <c r="S47" t="s">
        <v>309</v>
      </c>
      <c r="T47">
        <v>58</v>
      </c>
      <c r="U47">
        <f t="shared" si="0"/>
        <v>11</v>
      </c>
      <c r="V47">
        <f t="shared" si="1"/>
        <v>47</v>
      </c>
      <c r="W47" t="str">
        <f t="shared" si="2"/>
        <v>General Leo (Redone)-SpoonyBard-FF6</v>
      </c>
    </row>
    <row r="48" spans="1:23" hidden="1">
      <c r="A48">
        <v>208</v>
      </c>
      <c r="B48" t="s">
        <v>449</v>
      </c>
      <c r="S48" t="s">
        <v>310</v>
      </c>
      <c r="T48">
        <v>59</v>
      </c>
      <c r="U48">
        <f t="shared" si="0"/>
        <v>11</v>
      </c>
      <c r="V48">
        <f t="shared" si="1"/>
        <v>35</v>
      </c>
      <c r="W48" t="str">
        <f t="shared" si="2"/>
        <v>Gestahl-MetroidQuest-EC</v>
      </c>
    </row>
    <row r="49" spans="1:23" hidden="1">
      <c r="A49">
        <v>209</v>
      </c>
      <c r="B49" t="s">
        <v>450</v>
      </c>
      <c r="G49">
        <v>25</v>
      </c>
      <c r="S49" t="s">
        <v>311</v>
      </c>
      <c r="T49">
        <v>60</v>
      </c>
      <c r="U49">
        <f t="shared" si="0"/>
        <v>11</v>
      </c>
      <c r="V49">
        <f t="shared" si="1"/>
        <v>36</v>
      </c>
      <c r="W49" t="str">
        <f t="shared" si="2"/>
        <v>Gilgamesh-Kugawattan-FF5</v>
      </c>
    </row>
    <row r="50" spans="1:23" hidden="1">
      <c r="A50">
        <v>210</v>
      </c>
      <c r="B50" t="s">
        <v>451</v>
      </c>
      <c r="S50" t="s">
        <v>312</v>
      </c>
      <c r="T50">
        <v>61</v>
      </c>
      <c r="U50">
        <f t="shared" si="0"/>
        <v>11</v>
      </c>
      <c r="V50">
        <f t="shared" si="1"/>
        <v>27</v>
      </c>
      <c r="W50" t="str">
        <f t="shared" si="2"/>
        <v>Golbez-FEOK-FF4</v>
      </c>
    </row>
    <row r="51" spans="1:23" hidden="1">
      <c r="A51">
        <v>211</v>
      </c>
      <c r="B51" t="s">
        <v>452</v>
      </c>
      <c r="S51" t="s">
        <v>313</v>
      </c>
      <c r="T51">
        <v>62</v>
      </c>
      <c r="U51">
        <f t="shared" si="0"/>
        <v>11</v>
      </c>
      <c r="V51">
        <f t="shared" si="1"/>
        <v>33</v>
      </c>
      <c r="W51" t="str">
        <f t="shared" si="2"/>
        <v>Iffy-HoxNorf-Neptunia</v>
      </c>
    </row>
    <row r="52" spans="1:23" hidden="1">
      <c r="A52">
        <v>212</v>
      </c>
      <c r="B52" t="s">
        <v>453</v>
      </c>
      <c r="G52">
        <v>26</v>
      </c>
      <c r="S52" t="s">
        <v>314</v>
      </c>
      <c r="T52">
        <v>63</v>
      </c>
      <c r="U52">
        <f t="shared" si="0"/>
        <v>11</v>
      </c>
      <c r="V52">
        <f t="shared" si="1"/>
        <v>39</v>
      </c>
      <c r="W52" t="str">
        <f t="shared" si="2"/>
        <v>Impressario-LoneRedMage-FF6</v>
      </c>
    </row>
    <row r="53" spans="1:23" hidden="1">
      <c r="A53">
        <v>213</v>
      </c>
      <c r="B53" t="s">
        <v>454</v>
      </c>
      <c r="S53" t="s">
        <v>315</v>
      </c>
      <c r="T53">
        <v>64</v>
      </c>
      <c r="U53">
        <f t="shared" si="0"/>
        <v>11</v>
      </c>
      <c r="V53">
        <f t="shared" si="1"/>
        <v>40</v>
      </c>
      <c r="W53" t="str">
        <f t="shared" si="2"/>
        <v>Interceptor-JamesWhite89-FF6</v>
      </c>
    </row>
    <row r="54" spans="1:23" hidden="1">
      <c r="A54">
        <v>214</v>
      </c>
      <c r="B54" t="s">
        <v>455</v>
      </c>
      <c r="S54" t="s">
        <v>316</v>
      </c>
      <c r="T54">
        <v>65</v>
      </c>
      <c r="U54">
        <f t="shared" si="0"/>
        <v>11</v>
      </c>
      <c r="V54">
        <f t="shared" si="1"/>
        <v>29</v>
      </c>
      <c r="W54" t="str">
        <f t="shared" si="2"/>
        <v>Iris-HoxNorf-FF15</v>
      </c>
    </row>
    <row r="55" spans="1:23" hidden="1">
      <c r="A55">
        <v>215</v>
      </c>
      <c r="B55" t="s">
        <v>456</v>
      </c>
      <c r="C55">
        <v>45</v>
      </c>
      <c r="D55">
        <v>33</v>
      </c>
      <c r="E55">
        <v>142</v>
      </c>
      <c r="H55" t="s">
        <v>1584</v>
      </c>
      <c r="I55" t="s">
        <v>1587</v>
      </c>
      <c r="J55" t="s">
        <v>1588</v>
      </c>
      <c r="S55" t="s">
        <v>317</v>
      </c>
      <c r="T55">
        <v>66</v>
      </c>
      <c r="U55">
        <f t="shared" si="0"/>
        <v>11</v>
      </c>
      <c r="V55">
        <f t="shared" si="1"/>
        <v>30</v>
      </c>
      <c r="W55" t="str">
        <f t="shared" si="2"/>
        <v>Jessie-HoxNorf-FF7</v>
      </c>
    </row>
    <row r="56" spans="1:23" hidden="1">
      <c r="A56">
        <v>216</v>
      </c>
      <c r="B56" t="s">
        <v>457</v>
      </c>
      <c r="S56" t="s">
        <v>318</v>
      </c>
      <c r="T56">
        <v>67</v>
      </c>
      <c r="U56">
        <f t="shared" si="0"/>
        <v>11</v>
      </c>
      <c r="V56">
        <f t="shared" si="1"/>
        <v>32</v>
      </c>
      <c r="W56" t="str">
        <f t="shared" si="2"/>
        <v>Kain-MetroidQuest-EC</v>
      </c>
    </row>
    <row r="57" spans="1:23" hidden="1">
      <c r="A57">
        <v>217</v>
      </c>
      <c r="B57" t="s">
        <v>458</v>
      </c>
      <c r="C57">
        <v>128</v>
      </c>
      <c r="H57" t="s">
        <v>1589</v>
      </c>
      <c r="S57" t="s">
        <v>319</v>
      </c>
      <c r="T57">
        <v>68</v>
      </c>
      <c r="U57">
        <f t="shared" si="0"/>
        <v>11</v>
      </c>
      <c r="V57">
        <f t="shared" si="1"/>
        <v>32</v>
      </c>
      <c r="W57" t="str">
        <f t="shared" si="2"/>
        <v>Kain-SpoonyBard-FFRK</v>
      </c>
    </row>
    <row r="58" spans="1:23" hidden="1">
      <c r="A58">
        <v>218</v>
      </c>
      <c r="B58" t="s">
        <v>459</v>
      </c>
      <c r="S58" t="s">
        <v>320</v>
      </c>
      <c r="T58">
        <v>69</v>
      </c>
      <c r="U58">
        <f t="shared" si="0"/>
        <v>11</v>
      </c>
      <c r="V58">
        <f t="shared" si="1"/>
        <v>29</v>
      </c>
      <c r="W58" t="str">
        <f t="shared" si="2"/>
        <v>Katarin-Zozma-FF6</v>
      </c>
    </row>
    <row r="59" spans="1:23" hidden="1">
      <c r="A59">
        <v>219</v>
      </c>
      <c r="B59" t="s">
        <v>460</v>
      </c>
      <c r="S59" t="s">
        <v>321</v>
      </c>
      <c r="T59">
        <v>70</v>
      </c>
      <c r="U59">
        <f t="shared" si="0"/>
        <v>11</v>
      </c>
      <c r="V59">
        <f t="shared" si="1"/>
        <v>29</v>
      </c>
      <c r="W59" t="str">
        <f t="shared" si="2"/>
        <v>Kelgar-CtrlxZ-FF5</v>
      </c>
    </row>
    <row r="60" spans="1:23" hidden="1">
      <c r="A60">
        <v>220</v>
      </c>
      <c r="B60" t="s">
        <v>461</v>
      </c>
      <c r="S60" t="s">
        <v>322</v>
      </c>
      <c r="T60">
        <v>71</v>
      </c>
      <c r="U60">
        <f t="shared" si="0"/>
        <v>11</v>
      </c>
      <c r="V60">
        <f t="shared" si="1"/>
        <v>39</v>
      </c>
      <c r="W60" t="str">
        <f t="shared" si="2"/>
        <v>King Baron-JamesWhite89-FF4</v>
      </c>
    </row>
    <row r="61" spans="1:23">
      <c r="A61">
        <v>221</v>
      </c>
      <c r="B61" t="s">
        <v>462</v>
      </c>
      <c r="C61">
        <v>102</v>
      </c>
      <c r="D61">
        <v>74</v>
      </c>
      <c r="E61">
        <v>85</v>
      </c>
      <c r="F61">
        <v>146</v>
      </c>
      <c r="H61" t="s">
        <v>1590</v>
      </c>
      <c r="I61" t="s">
        <v>1591</v>
      </c>
      <c r="J61" t="s">
        <v>1581</v>
      </c>
      <c r="K61" t="s">
        <v>1592</v>
      </c>
      <c r="L61" t="s">
        <v>1669</v>
      </c>
      <c r="M61" t="s">
        <v>1681</v>
      </c>
      <c r="N61" t="s">
        <v>1681</v>
      </c>
      <c r="O61" t="s">
        <v>1685</v>
      </c>
      <c r="P61" t="s">
        <v>1662</v>
      </c>
      <c r="Q61" t="str">
        <f>B61&amp;" - "&amp;L61</f>
        <v>bomb - FF4</v>
      </c>
      <c r="S61" t="s">
        <v>323</v>
      </c>
      <c r="T61">
        <v>72</v>
      </c>
      <c r="U61">
        <f t="shared" si="0"/>
        <v>11</v>
      </c>
      <c r="V61">
        <f t="shared" si="1"/>
        <v>29</v>
      </c>
      <c r="W61" t="str">
        <f t="shared" si="2"/>
        <v>Krile-HoxNorf-FF5</v>
      </c>
    </row>
    <row r="62" spans="1:23" hidden="1">
      <c r="A62">
        <v>222</v>
      </c>
      <c r="B62" t="s">
        <v>463</v>
      </c>
      <c r="C62">
        <v>34</v>
      </c>
      <c r="H62" t="s">
        <v>1593</v>
      </c>
      <c r="S62" t="s">
        <v>324</v>
      </c>
      <c r="T62">
        <v>73</v>
      </c>
      <c r="U62">
        <f t="shared" si="0"/>
        <v>11</v>
      </c>
      <c r="V62">
        <f t="shared" si="1"/>
        <v>31</v>
      </c>
      <c r="W62" t="str">
        <f t="shared" si="2"/>
        <v>Laguna-PocoLoco-FF8</v>
      </c>
    </row>
    <row r="63" spans="1:23" hidden="1">
      <c r="A63">
        <v>223</v>
      </c>
      <c r="B63" t="s">
        <v>464</v>
      </c>
      <c r="C63">
        <v>114</v>
      </c>
      <c r="D63">
        <v>137</v>
      </c>
      <c r="H63" t="s">
        <v>1594</v>
      </c>
      <c r="I63" t="s">
        <v>1595</v>
      </c>
      <c r="S63" t="s">
        <v>325</v>
      </c>
      <c r="T63">
        <v>74</v>
      </c>
      <c r="U63">
        <f t="shared" si="0"/>
        <v>11</v>
      </c>
      <c r="V63">
        <f t="shared" si="1"/>
        <v>42</v>
      </c>
      <c r="W63" t="str">
        <f t="shared" si="2"/>
        <v>Lenna (White Mage)-HoxNorf-FF5</v>
      </c>
    </row>
    <row r="64" spans="1:23" hidden="1">
      <c r="A64">
        <v>224</v>
      </c>
      <c r="B64" t="s">
        <v>465</v>
      </c>
      <c r="S64" t="s">
        <v>326</v>
      </c>
      <c r="T64">
        <v>75</v>
      </c>
      <c r="U64">
        <f t="shared" si="0"/>
        <v>11</v>
      </c>
      <c r="V64">
        <f t="shared" si="1"/>
        <v>29</v>
      </c>
      <c r="W64" t="str">
        <f t="shared" si="2"/>
        <v>Lenna-HoxNorf-FF5</v>
      </c>
    </row>
    <row r="65" spans="1:23" hidden="1">
      <c r="A65">
        <v>225</v>
      </c>
      <c r="B65" t="s">
        <v>466</v>
      </c>
      <c r="C65">
        <v>3</v>
      </c>
      <c r="H65" t="s">
        <v>1576</v>
      </c>
      <c r="S65" t="s">
        <v>327</v>
      </c>
      <c r="T65">
        <v>76</v>
      </c>
      <c r="U65">
        <f t="shared" si="0"/>
        <v>11</v>
      </c>
      <c r="V65">
        <f t="shared" si="1"/>
        <v>31</v>
      </c>
      <c r="W65" t="str">
        <f t="shared" si="2"/>
        <v>Lightning-FEOK-FF13</v>
      </c>
    </row>
    <row r="66" spans="1:23" hidden="1">
      <c r="A66">
        <v>226</v>
      </c>
      <c r="B66" t="s">
        <v>467</v>
      </c>
      <c r="C66">
        <v>87</v>
      </c>
      <c r="D66">
        <v>3</v>
      </c>
      <c r="H66" t="s">
        <v>1596</v>
      </c>
      <c r="I66" t="s">
        <v>1576</v>
      </c>
      <c r="S66" t="s">
        <v>328</v>
      </c>
      <c r="T66">
        <v>77</v>
      </c>
      <c r="U66">
        <f t="shared" si="0"/>
        <v>11</v>
      </c>
      <c r="V66">
        <f t="shared" si="1"/>
        <v>25</v>
      </c>
      <c r="W66" t="str">
        <f t="shared" si="2"/>
        <v>Magus-FEOK-CT</v>
      </c>
    </row>
    <row r="67" spans="1:23">
      <c r="A67">
        <v>227</v>
      </c>
      <c r="B67" t="s">
        <v>468</v>
      </c>
      <c r="C67">
        <v>50</v>
      </c>
      <c r="D67">
        <v>0</v>
      </c>
      <c r="H67" t="s">
        <v>1597</v>
      </c>
      <c r="I67" t="s">
        <v>1573</v>
      </c>
      <c r="L67" t="s">
        <v>1658</v>
      </c>
      <c r="M67" t="s">
        <v>1681</v>
      </c>
      <c r="N67" t="s">
        <v>1681</v>
      </c>
      <c r="O67" t="s">
        <v>1685</v>
      </c>
      <c r="P67" t="s">
        <v>1662</v>
      </c>
      <c r="Q67" t="str">
        <f>B67&amp;" - "&amp;L67</f>
        <v>boy - FF6</v>
      </c>
      <c r="S67" t="s">
        <v>329</v>
      </c>
      <c r="T67">
        <v>78</v>
      </c>
      <c r="U67">
        <f t="shared" si="0"/>
        <v>11</v>
      </c>
      <c r="V67">
        <f t="shared" si="1"/>
        <v>33</v>
      </c>
      <c r="W67" t="str">
        <f t="shared" si="2"/>
        <v>Magus-MetroidQuest-EC</v>
      </c>
    </row>
    <row r="68" spans="1:23" hidden="1">
      <c r="A68">
        <v>228</v>
      </c>
      <c r="B68" t="s">
        <v>469</v>
      </c>
      <c r="G68">
        <v>29</v>
      </c>
      <c r="S68" t="s">
        <v>330</v>
      </c>
      <c r="T68">
        <v>79</v>
      </c>
      <c r="U68">
        <f t="shared" si="0"/>
        <v>11</v>
      </c>
      <c r="V68">
        <f t="shared" si="1"/>
        <v>32</v>
      </c>
      <c r="W68" t="str">
        <f t="shared" si="2"/>
        <v>Mini-JamesWhite89-FF</v>
      </c>
    </row>
    <row r="69" spans="1:23" hidden="1">
      <c r="A69">
        <v>229</v>
      </c>
      <c r="B69" t="s">
        <v>470</v>
      </c>
      <c r="C69">
        <v>1</v>
      </c>
      <c r="D69">
        <v>38</v>
      </c>
      <c r="H69" t="s">
        <v>1574</v>
      </c>
      <c r="I69" t="s">
        <v>1565</v>
      </c>
      <c r="S69" t="s">
        <v>331</v>
      </c>
      <c r="T69">
        <v>80</v>
      </c>
      <c r="U69">
        <f t="shared" si="0"/>
        <v>11</v>
      </c>
      <c r="V69">
        <f t="shared" si="1"/>
        <v>33</v>
      </c>
      <c r="W69" t="str">
        <f t="shared" si="2"/>
        <v>Mog-JamesWhite89-FF6E</v>
      </c>
    </row>
    <row r="70" spans="1:23" hidden="1">
      <c r="A70">
        <v>230</v>
      </c>
      <c r="B70" t="s">
        <v>471</v>
      </c>
      <c r="S70" t="s">
        <v>332</v>
      </c>
      <c r="T70">
        <v>81</v>
      </c>
      <c r="U70">
        <f t="shared" si="0"/>
        <v>11</v>
      </c>
      <c r="V70">
        <f t="shared" si="1"/>
        <v>36</v>
      </c>
      <c r="W70" t="str">
        <f t="shared" si="2"/>
        <v>Mystic Knight-CtrlxZ-FF5</v>
      </c>
    </row>
    <row r="71" spans="1:23">
      <c r="A71">
        <v>231</v>
      </c>
      <c r="B71" t="s">
        <v>472</v>
      </c>
      <c r="C71">
        <v>46</v>
      </c>
      <c r="D71">
        <v>131</v>
      </c>
      <c r="H71" t="s">
        <v>1598</v>
      </c>
      <c r="I71" t="s">
        <v>1599</v>
      </c>
      <c r="L71" t="s">
        <v>1673</v>
      </c>
      <c r="M71" t="s">
        <v>1685</v>
      </c>
      <c r="N71" t="s">
        <v>1684</v>
      </c>
      <c r="O71" t="s">
        <v>1685</v>
      </c>
      <c r="P71" t="s">
        <v>1687</v>
      </c>
      <c r="Q71" t="str">
        <f>B71&amp;" - "&amp;L71</f>
        <v>bunnylink - Link to the Past</v>
      </c>
      <c r="S71" t="s">
        <v>333</v>
      </c>
      <c r="T71">
        <v>82</v>
      </c>
      <c r="U71">
        <f t="shared" si="0"/>
        <v>11</v>
      </c>
      <c r="V71">
        <f t="shared" si="1"/>
        <v>36</v>
      </c>
      <c r="W71" t="str">
        <f t="shared" si="2"/>
        <v>Nepgear-HoxNorf-Neptunia</v>
      </c>
    </row>
    <row r="72" spans="1:23">
      <c r="A72">
        <v>232</v>
      </c>
      <c r="B72" t="s">
        <v>473</v>
      </c>
      <c r="C72">
        <v>70</v>
      </c>
      <c r="D72">
        <v>36</v>
      </c>
      <c r="H72" t="s">
        <v>1566</v>
      </c>
      <c r="I72" t="s">
        <v>1600</v>
      </c>
      <c r="L72" t="s">
        <v>1671</v>
      </c>
      <c r="M72" t="s">
        <v>1685</v>
      </c>
      <c r="N72" t="s">
        <v>1684</v>
      </c>
      <c r="O72" t="s">
        <v>1685</v>
      </c>
      <c r="P72" t="s">
        <v>1687</v>
      </c>
      <c r="Q72" t="str">
        <f>B72&amp;" - "&amp;L72</f>
        <v>byuu - Bahamut Lagoon</v>
      </c>
      <c r="S72" t="s">
        <v>334</v>
      </c>
      <c r="T72">
        <v>83</v>
      </c>
      <c r="U72">
        <f t="shared" si="0"/>
        <v>11</v>
      </c>
      <c r="V72">
        <f t="shared" si="1"/>
        <v>44</v>
      </c>
      <c r="W72" t="str">
        <f t="shared" si="2"/>
        <v>Neptune (Adult)-HoxNorf-Neptunia</v>
      </c>
    </row>
    <row r="73" spans="1:23">
      <c r="A73">
        <v>233</v>
      </c>
      <c r="B73" t="s">
        <v>474</v>
      </c>
      <c r="C73">
        <v>29</v>
      </c>
      <c r="D73">
        <v>138</v>
      </c>
      <c r="H73" t="s">
        <v>1601</v>
      </c>
      <c r="I73" t="s">
        <v>1602</v>
      </c>
      <c r="L73" t="s">
        <v>1658</v>
      </c>
      <c r="M73" t="s">
        <v>1681</v>
      </c>
      <c r="N73" t="s">
        <v>1681</v>
      </c>
      <c r="O73" t="s">
        <v>1685</v>
      </c>
      <c r="P73" t="s">
        <v>1662</v>
      </c>
      <c r="Q73" t="str">
        <f>B73&amp;" - "&amp;L73</f>
        <v>cactuar - FF6</v>
      </c>
      <c r="S73" t="s">
        <v>335</v>
      </c>
      <c r="T73">
        <v>84</v>
      </c>
      <c r="U73">
        <f t="shared" si="0"/>
        <v>11</v>
      </c>
      <c r="V73">
        <f t="shared" si="1"/>
        <v>36</v>
      </c>
      <c r="W73" t="str">
        <f t="shared" si="2"/>
        <v>Neptune-HoxNorf-Neptunia</v>
      </c>
    </row>
    <row r="74" spans="1:23">
      <c r="A74">
        <v>234</v>
      </c>
      <c r="B74" t="s">
        <v>475</v>
      </c>
      <c r="C74">
        <v>26</v>
      </c>
      <c r="D74">
        <v>34</v>
      </c>
      <c r="E74">
        <v>68</v>
      </c>
      <c r="F74">
        <v>103</v>
      </c>
      <c r="H74" t="s">
        <v>1603</v>
      </c>
      <c r="I74" t="s">
        <v>1593</v>
      </c>
      <c r="J74" t="s">
        <v>1604</v>
      </c>
      <c r="K74" t="s">
        <v>1605</v>
      </c>
      <c r="L74" t="s">
        <v>1669</v>
      </c>
      <c r="M74" t="s">
        <v>1681</v>
      </c>
      <c r="N74" t="s">
        <v>1681</v>
      </c>
      <c r="O74" t="s">
        <v>1685</v>
      </c>
      <c r="P74" t="s">
        <v>1662</v>
      </c>
      <c r="Q74" t="str">
        <f>B74&amp;" - "&amp;L74</f>
        <v>cagnazzo - FF4</v>
      </c>
      <c r="S74" t="s">
        <v>336</v>
      </c>
      <c r="T74">
        <v>85</v>
      </c>
      <c r="U74">
        <f t="shared" ref="U74:U137" si="3">FIND("""",S74,1)</f>
        <v>11</v>
      </c>
      <c r="V74">
        <f t="shared" ref="V74:V137" si="4">FIND("""",S74,U74+1)</f>
        <v>28</v>
      </c>
      <c r="W74" t="str">
        <f t="shared" ref="W74:W137" si="5">MID(S74,U74+1,V74-U74-1)</f>
        <v>Ninja-CtrlxZ-FF5</v>
      </c>
    </row>
    <row r="75" spans="1:23" hidden="1">
      <c r="A75">
        <v>235</v>
      </c>
      <c r="B75" t="s">
        <v>476</v>
      </c>
      <c r="S75" t="s">
        <v>337</v>
      </c>
      <c r="T75">
        <v>86</v>
      </c>
      <c r="U75">
        <f t="shared" si="3"/>
        <v>11</v>
      </c>
      <c r="V75">
        <f t="shared" si="4"/>
        <v>33</v>
      </c>
      <c r="W75" t="str">
        <f t="shared" si="5"/>
        <v>Onion Knight-FEOK-FF3</v>
      </c>
    </row>
    <row r="76" spans="1:23">
      <c r="A76">
        <v>236</v>
      </c>
      <c r="B76" t="s">
        <v>477</v>
      </c>
      <c r="C76">
        <v>120</v>
      </c>
      <c r="D76">
        <v>3</v>
      </c>
      <c r="E76">
        <v>87</v>
      </c>
      <c r="H76" t="s">
        <v>1606</v>
      </c>
      <c r="I76" t="s">
        <v>1576</v>
      </c>
      <c r="J76" t="s">
        <v>1596</v>
      </c>
      <c r="L76" t="s">
        <v>1672</v>
      </c>
      <c r="M76" t="s">
        <v>1692</v>
      </c>
      <c r="N76" t="s">
        <v>1692</v>
      </c>
      <c r="O76" t="s">
        <v>1692</v>
      </c>
      <c r="P76" t="s">
        <v>1662</v>
      </c>
      <c r="Q76" t="str">
        <f>B76&amp;" - "&amp;L76</f>
        <v>cammy - Street Fighter 2</v>
      </c>
      <c r="S76" t="s">
        <v>338</v>
      </c>
      <c r="T76">
        <v>87</v>
      </c>
      <c r="U76">
        <f t="shared" si="3"/>
        <v>11</v>
      </c>
      <c r="V76">
        <f t="shared" si="4"/>
        <v>29</v>
      </c>
      <c r="W76" t="str">
        <f t="shared" si="5"/>
        <v>Palom-HoxNorf-FF4</v>
      </c>
    </row>
    <row r="77" spans="1:23" hidden="1">
      <c r="A77">
        <v>237</v>
      </c>
      <c r="B77" t="s">
        <v>478</v>
      </c>
      <c r="C77">
        <v>28</v>
      </c>
      <c r="D77">
        <v>92</v>
      </c>
      <c r="H77" t="s">
        <v>1580</v>
      </c>
      <c r="I77" t="s">
        <v>1607</v>
      </c>
      <c r="S77" t="s">
        <v>339</v>
      </c>
      <c r="T77">
        <v>88</v>
      </c>
      <c r="U77">
        <f t="shared" si="3"/>
        <v>11</v>
      </c>
      <c r="V77">
        <f t="shared" si="4"/>
        <v>29</v>
      </c>
      <c r="W77" t="str">
        <f t="shared" si="5"/>
        <v>Porom-HoxNorf-FF4</v>
      </c>
    </row>
    <row r="78" spans="1:23">
      <c r="A78">
        <v>238</v>
      </c>
      <c r="B78" t="s">
        <v>479</v>
      </c>
      <c r="C78">
        <v>0</v>
      </c>
      <c r="H78" t="s">
        <v>1573</v>
      </c>
      <c r="L78" t="s">
        <v>1658</v>
      </c>
      <c r="M78" t="s">
        <v>1681</v>
      </c>
      <c r="N78" t="s">
        <v>1681</v>
      </c>
      <c r="O78" t="s">
        <v>1684</v>
      </c>
      <c r="P78" t="s">
        <v>1662</v>
      </c>
      <c r="Q78" t="str">
        <f>B78&amp;" - "&amp;L78</f>
        <v>celes-amano - FF6</v>
      </c>
      <c r="S78" t="s">
        <v>340</v>
      </c>
      <c r="T78">
        <v>89</v>
      </c>
      <c r="U78">
        <f t="shared" si="3"/>
        <v>11</v>
      </c>
      <c r="V78">
        <f t="shared" si="4"/>
        <v>33</v>
      </c>
      <c r="W78" t="str">
        <f t="shared" si="5"/>
        <v>Quina-SpoonyBard-FFRK</v>
      </c>
    </row>
    <row r="79" spans="1:23" hidden="1">
      <c r="A79">
        <v>239</v>
      </c>
      <c r="B79" t="s">
        <v>480</v>
      </c>
      <c r="S79" t="s">
        <v>341</v>
      </c>
      <c r="T79">
        <v>90</v>
      </c>
      <c r="U79">
        <f t="shared" si="3"/>
        <v>11</v>
      </c>
      <c r="V79">
        <f t="shared" si="4"/>
        <v>28</v>
      </c>
      <c r="W79" t="str">
        <f t="shared" si="5"/>
        <v>Quistis-FEOK-FF8</v>
      </c>
    </row>
    <row r="80" spans="1:23">
      <c r="A80">
        <v>240</v>
      </c>
      <c r="B80" t="s">
        <v>481</v>
      </c>
      <c r="C80">
        <v>0</v>
      </c>
      <c r="H80" t="s">
        <v>1573</v>
      </c>
      <c r="L80" t="s">
        <v>1658</v>
      </c>
      <c r="M80" t="s">
        <v>1681</v>
      </c>
      <c r="N80" t="s">
        <v>1681</v>
      </c>
      <c r="O80" t="s">
        <v>1685</v>
      </c>
      <c r="P80" t="s">
        <v>1662</v>
      </c>
      <c r="Q80" t="str">
        <f>B80&amp;" - "&amp;L80</f>
        <v>celes-opera - FF6</v>
      </c>
      <c r="S80" t="s">
        <v>342</v>
      </c>
      <c r="T80">
        <v>91</v>
      </c>
      <c r="U80">
        <f t="shared" si="3"/>
        <v>11</v>
      </c>
      <c r="V80">
        <f t="shared" si="4"/>
        <v>28</v>
      </c>
      <c r="W80" t="str">
        <f t="shared" si="5"/>
        <v>Rachel-Zozma-FF6</v>
      </c>
    </row>
    <row r="81" spans="1:23" hidden="1">
      <c r="A81">
        <v>241</v>
      </c>
      <c r="B81" t="s">
        <v>482</v>
      </c>
      <c r="S81" t="s">
        <v>343</v>
      </c>
      <c r="T81">
        <v>92</v>
      </c>
      <c r="U81">
        <f t="shared" si="3"/>
        <v>11</v>
      </c>
      <c r="V81">
        <f t="shared" si="4"/>
        <v>36</v>
      </c>
      <c r="W81" t="str">
        <f t="shared" si="5"/>
        <v>Relm (Amano)-HoxNorf-FF6</v>
      </c>
    </row>
    <row r="82" spans="1:23" hidden="1">
      <c r="A82">
        <v>242</v>
      </c>
      <c r="B82" t="s">
        <v>483</v>
      </c>
      <c r="S82" t="s">
        <v>344</v>
      </c>
      <c r="T82">
        <v>93</v>
      </c>
      <c r="U82">
        <f t="shared" si="3"/>
        <v>11</v>
      </c>
      <c r="V82">
        <f t="shared" si="4"/>
        <v>32</v>
      </c>
      <c r="W82" t="str">
        <f t="shared" si="5"/>
        <v>Relm-MetroidQuest-EC</v>
      </c>
    </row>
    <row r="83" spans="1:23" hidden="1">
      <c r="A83">
        <v>243</v>
      </c>
      <c r="B83" t="s">
        <v>484</v>
      </c>
      <c r="C83">
        <v>36</v>
      </c>
      <c r="H83" t="s">
        <v>1600</v>
      </c>
      <c r="S83" t="s">
        <v>345</v>
      </c>
      <c r="T83">
        <v>94</v>
      </c>
      <c r="U83">
        <f t="shared" si="3"/>
        <v>11</v>
      </c>
      <c r="V83">
        <f t="shared" si="4"/>
        <v>27</v>
      </c>
      <c r="W83" t="str">
        <f t="shared" si="5"/>
        <v>Reno-CtrlxZ-FF7</v>
      </c>
    </row>
    <row r="84" spans="1:23" hidden="1">
      <c r="A84">
        <v>244</v>
      </c>
      <c r="B84" t="s">
        <v>485</v>
      </c>
      <c r="C84">
        <v>28</v>
      </c>
      <c r="D84">
        <v>35</v>
      </c>
      <c r="E84">
        <v>79</v>
      </c>
      <c r="H84" t="s">
        <v>1580</v>
      </c>
      <c r="I84" t="s">
        <v>1569</v>
      </c>
      <c r="J84" t="s">
        <v>1608</v>
      </c>
      <c r="S84" t="s">
        <v>346</v>
      </c>
      <c r="T84">
        <v>95</v>
      </c>
      <c r="U84">
        <f t="shared" si="3"/>
        <v>11</v>
      </c>
      <c r="V84">
        <f t="shared" si="4"/>
        <v>26</v>
      </c>
      <c r="W84" t="str">
        <f t="shared" si="5"/>
        <v>Robo-Badass-CT</v>
      </c>
    </row>
    <row r="85" spans="1:23" hidden="1">
      <c r="A85">
        <v>245</v>
      </c>
      <c r="B85" t="s">
        <v>486</v>
      </c>
      <c r="G85">
        <v>32</v>
      </c>
      <c r="S85" t="s">
        <v>347</v>
      </c>
      <c r="T85">
        <v>96</v>
      </c>
      <c r="U85">
        <f t="shared" si="3"/>
        <v>11</v>
      </c>
      <c r="V85">
        <f t="shared" si="4"/>
        <v>29</v>
      </c>
      <c r="W85" t="str">
        <f t="shared" si="5"/>
        <v>Rosa-PocoLoco-FF4</v>
      </c>
    </row>
    <row r="86" spans="1:23" hidden="1">
      <c r="A86">
        <v>246</v>
      </c>
      <c r="B86" t="s">
        <v>487</v>
      </c>
      <c r="S86" t="s">
        <v>348</v>
      </c>
      <c r="T86">
        <v>97</v>
      </c>
      <c r="U86">
        <f t="shared" si="3"/>
        <v>11</v>
      </c>
      <c r="V86">
        <f t="shared" si="4"/>
        <v>37</v>
      </c>
      <c r="W86" t="str">
        <f t="shared" si="5"/>
        <v>Rydia (Child)-HoxNorf-FF4</v>
      </c>
    </row>
    <row r="87" spans="1:23" hidden="1">
      <c r="A87">
        <v>247</v>
      </c>
      <c r="B87" t="s">
        <v>488</v>
      </c>
      <c r="S87" t="s">
        <v>349</v>
      </c>
      <c r="T87">
        <v>98</v>
      </c>
      <c r="U87">
        <f t="shared" si="3"/>
        <v>11</v>
      </c>
      <c r="V87">
        <f t="shared" si="4"/>
        <v>29</v>
      </c>
      <c r="W87" t="str">
        <f t="shared" si="5"/>
        <v>Rydia-HoxNorf-FF4</v>
      </c>
    </row>
    <row r="88" spans="1:23" hidden="1">
      <c r="A88">
        <v>248</v>
      </c>
      <c r="B88" t="s">
        <v>489</v>
      </c>
      <c r="S88" t="s">
        <v>350</v>
      </c>
      <c r="T88">
        <v>99</v>
      </c>
      <c r="U88">
        <f t="shared" si="3"/>
        <v>11</v>
      </c>
      <c r="V88">
        <f t="shared" si="4"/>
        <v>27</v>
      </c>
      <c r="W88" t="str">
        <f t="shared" si="5"/>
        <v>Rydia-Zozma-FF4</v>
      </c>
    </row>
    <row r="89" spans="1:23" hidden="1">
      <c r="A89">
        <v>249</v>
      </c>
      <c r="B89" t="s">
        <v>490</v>
      </c>
      <c r="S89" t="s">
        <v>351</v>
      </c>
      <c r="T89">
        <v>100</v>
      </c>
      <c r="U89">
        <f t="shared" si="3"/>
        <v>11</v>
      </c>
      <c r="V89">
        <f t="shared" si="4"/>
        <v>35</v>
      </c>
      <c r="W89" t="str">
        <f t="shared" si="5"/>
        <v>Ryu (Dragon)-Badass-BOF</v>
      </c>
    </row>
    <row r="90" spans="1:23">
      <c r="A90">
        <v>250</v>
      </c>
      <c r="B90" t="s">
        <v>491</v>
      </c>
      <c r="C90">
        <v>21</v>
      </c>
      <c r="D90">
        <v>45</v>
      </c>
      <c r="H90" t="s">
        <v>1609</v>
      </c>
      <c r="I90" t="s">
        <v>1584</v>
      </c>
      <c r="L90" t="s">
        <v>1669</v>
      </c>
      <c r="M90" t="s">
        <v>1685</v>
      </c>
      <c r="N90" t="s">
        <v>1684</v>
      </c>
      <c r="O90" t="s">
        <v>1685</v>
      </c>
      <c r="P90" t="s">
        <v>1687</v>
      </c>
      <c r="Q90" t="str">
        <f>B90&amp;" - "&amp;L90</f>
        <v>chocobo - FF4</v>
      </c>
      <c r="S90" t="s">
        <v>352</v>
      </c>
      <c r="T90">
        <v>101</v>
      </c>
      <c r="U90">
        <f t="shared" si="3"/>
        <v>11</v>
      </c>
      <c r="V90">
        <f t="shared" si="4"/>
        <v>26</v>
      </c>
      <c r="W90" t="str">
        <f t="shared" si="5"/>
        <v>Ryu-Badass-BOF</v>
      </c>
    </row>
    <row r="91" spans="1:23">
      <c r="A91">
        <v>251</v>
      </c>
      <c r="B91" t="s">
        <v>492</v>
      </c>
      <c r="C91">
        <v>24</v>
      </c>
      <c r="D91">
        <v>33</v>
      </c>
      <c r="E91">
        <v>142</v>
      </c>
      <c r="H91" t="s">
        <v>1610</v>
      </c>
      <c r="I91" t="s">
        <v>1587</v>
      </c>
      <c r="J91" t="s">
        <v>1588</v>
      </c>
      <c r="L91" t="s">
        <v>1672</v>
      </c>
      <c r="M91" t="s">
        <v>1692</v>
      </c>
      <c r="N91" t="s">
        <v>1692</v>
      </c>
      <c r="O91" t="s">
        <v>1692</v>
      </c>
      <c r="P91" t="s">
        <v>1662</v>
      </c>
      <c r="Q91" t="str">
        <f>B91&amp;" - "&amp;L91</f>
        <v>chunli - Street Fighter 2</v>
      </c>
      <c r="S91" t="s">
        <v>353</v>
      </c>
      <c r="T91">
        <v>102</v>
      </c>
      <c r="U91">
        <f t="shared" si="3"/>
        <v>11</v>
      </c>
      <c r="V91">
        <f t="shared" si="4"/>
        <v>30</v>
      </c>
      <c r="W91" t="str">
        <f t="shared" si="5"/>
        <v>Samurai-CtrlxZ-FF5</v>
      </c>
    </row>
    <row r="92" spans="1:23">
      <c r="A92">
        <v>252</v>
      </c>
      <c r="B92" t="s">
        <v>493</v>
      </c>
      <c r="C92">
        <v>5</v>
      </c>
      <c r="D92">
        <v>72</v>
      </c>
      <c r="E92">
        <v>137</v>
      </c>
      <c r="H92" t="s">
        <v>1578</v>
      </c>
      <c r="I92" t="s">
        <v>1611</v>
      </c>
      <c r="J92" t="s">
        <v>1595</v>
      </c>
      <c r="L92" t="s">
        <v>1658</v>
      </c>
      <c r="M92" t="s">
        <v>1681</v>
      </c>
      <c r="N92" t="s">
        <v>1681</v>
      </c>
      <c r="O92" t="s">
        <v>1685</v>
      </c>
      <c r="P92" t="s">
        <v>1662</v>
      </c>
      <c r="Q92" t="str">
        <f>B92&amp;" - "&amp;L92</f>
        <v>chupon - FF6</v>
      </c>
      <c r="S92" t="s">
        <v>354</v>
      </c>
      <c r="T92">
        <v>103</v>
      </c>
      <c r="U92">
        <f t="shared" si="3"/>
        <v>11</v>
      </c>
      <c r="V92">
        <f t="shared" si="4"/>
        <v>29</v>
      </c>
      <c r="W92" t="str">
        <f t="shared" si="5"/>
        <v>Schala-HoxNorf-CT</v>
      </c>
    </row>
    <row r="93" spans="1:23" hidden="1">
      <c r="A93">
        <v>253</v>
      </c>
      <c r="B93" t="s">
        <v>494</v>
      </c>
      <c r="G93">
        <v>33</v>
      </c>
      <c r="S93" t="s">
        <v>355</v>
      </c>
      <c r="T93">
        <v>104</v>
      </c>
      <c r="U93">
        <f t="shared" si="3"/>
        <v>11</v>
      </c>
      <c r="V93">
        <f t="shared" si="4"/>
        <v>32</v>
      </c>
      <c r="W93" t="str">
        <f t="shared" si="5"/>
        <v>Sephiroth-CtrlxZ-FF7</v>
      </c>
    </row>
    <row r="94" spans="1:23" hidden="1">
      <c r="A94">
        <v>254</v>
      </c>
      <c r="B94" t="s">
        <v>495</v>
      </c>
      <c r="S94" t="s">
        <v>356</v>
      </c>
      <c r="T94">
        <v>105</v>
      </c>
      <c r="U94">
        <f t="shared" si="3"/>
        <v>11</v>
      </c>
      <c r="V94">
        <f t="shared" si="4"/>
        <v>36</v>
      </c>
      <c r="W94" t="str">
        <f t="shared" si="5"/>
        <v>Seymour-LoneRedMage-FF10</v>
      </c>
    </row>
    <row r="95" spans="1:23" hidden="1">
      <c r="A95">
        <v>255</v>
      </c>
      <c r="B95" t="s">
        <v>496</v>
      </c>
      <c r="S95" t="s">
        <v>357</v>
      </c>
      <c r="T95">
        <v>106</v>
      </c>
      <c r="U95">
        <f t="shared" si="3"/>
        <v>11</v>
      </c>
      <c r="V95">
        <f t="shared" si="4"/>
        <v>34</v>
      </c>
      <c r="W95" t="str">
        <f t="shared" si="5"/>
        <v>Shantotto-HoxNorf-FF11</v>
      </c>
    </row>
    <row r="96" spans="1:23">
      <c r="A96">
        <v>256</v>
      </c>
      <c r="B96" t="s">
        <v>497</v>
      </c>
      <c r="C96">
        <v>41</v>
      </c>
      <c r="D96">
        <v>106</v>
      </c>
      <c r="E96">
        <v>45</v>
      </c>
      <c r="H96" t="s">
        <v>1583</v>
      </c>
      <c r="I96" t="s">
        <v>1570</v>
      </c>
      <c r="J96" t="s">
        <v>1584</v>
      </c>
      <c r="L96" t="s">
        <v>1659</v>
      </c>
      <c r="M96" t="s">
        <v>1685</v>
      </c>
      <c r="N96" t="s">
        <v>1684</v>
      </c>
      <c r="O96" t="s">
        <v>1685</v>
      </c>
      <c r="P96" t="s">
        <v>1687</v>
      </c>
      <c r="Q96" t="str">
        <f>B96&amp;" - "&amp;L96</f>
        <v>cid7 - FF7</v>
      </c>
      <c r="S96" t="s">
        <v>358</v>
      </c>
      <c r="T96">
        <v>107</v>
      </c>
      <c r="U96">
        <f t="shared" si="3"/>
        <v>11</v>
      </c>
      <c r="V96">
        <f t="shared" si="4"/>
        <v>35</v>
      </c>
      <c r="W96" t="str">
        <f t="shared" si="5"/>
        <v>Soldier-LoneRedMage-FF4</v>
      </c>
    </row>
    <row r="97" spans="1:23" hidden="1">
      <c r="A97">
        <v>257</v>
      </c>
      <c r="B97" t="s">
        <v>498</v>
      </c>
      <c r="G97">
        <v>34</v>
      </c>
      <c r="S97" t="s">
        <v>359</v>
      </c>
      <c r="T97">
        <v>108</v>
      </c>
      <c r="U97">
        <f t="shared" si="3"/>
        <v>11</v>
      </c>
      <c r="V97">
        <f t="shared" si="4"/>
        <v>28</v>
      </c>
      <c r="W97" t="str">
        <f t="shared" si="5"/>
        <v>Steiner-FEOK-FF9</v>
      </c>
    </row>
    <row r="98" spans="1:23" hidden="1">
      <c r="A98">
        <v>258</v>
      </c>
      <c r="B98" t="s">
        <v>499</v>
      </c>
      <c r="S98" t="s">
        <v>360</v>
      </c>
      <c r="T98">
        <v>109</v>
      </c>
      <c r="U98">
        <f t="shared" si="3"/>
        <v>11</v>
      </c>
      <c r="V98">
        <f t="shared" si="4"/>
        <v>27</v>
      </c>
      <c r="W98" t="str">
        <f t="shared" si="5"/>
        <v>Tellah-FEOK-FF4</v>
      </c>
    </row>
    <row r="99" spans="1:23" hidden="1">
      <c r="A99">
        <v>259</v>
      </c>
      <c r="B99" t="s">
        <v>500</v>
      </c>
      <c r="S99" t="s">
        <v>361</v>
      </c>
      <c r="T99">
        <v>110</v>
      </c>
      <c r="U99">
        <f t="shared" si="3"/>
        <v>11</v>
      </c>
      <c r="V99">
        <f t="shared" si="4"/>
        <v>49</v>
      </c>
      <c r="W99" t="str">
        <f t="shared" si="5"/>
        <v>Terra (Amano Blond Cape)-JCollins-FF6</v>
      </c>
    </row>
    <row r="100" spans="1:23" hidden="1">
      <c r="A100">
        <v>260</v>
      </c>
      <c r="B100" t="s">
        <v>501</v>
      </c>
      <c r="C100">
        <v>28</v>
      </c>
      <c r="D100">
        <v>65</v>
      </c>
      <c r="E100">
        <v>124</v>
      </c>
      <c r="H100" t="s">
        <v>1580</v>
      </c>
      <c r="I100" t="s">
        <v>1612</v>
      </c>
      <c r="J100" t="s">
        <v>1613</v>
      </c>
      <c r="S100" t="s">
        <v>362</v>
      </c>
      <c r="T100">
        <v>111</v>
      </c>
      <c r="U100">
        <f t="shared" si="3"/>
        <v>11</v>
      </c>
      <c r="V100">
        <f t="shared" si="4"/>
        <v>43</v>
      </c>
      <c r="W100" t="str">
        <f t="shared" si="5"/>
        <v>Terra (Amano Cape)-JCollins-FF6</v>
      </c>
    </row>
    <row r="101" spans="1:23" hidden="1">
      <c r="A101">
        <v>261</v>
      </c>
      <c r="B101" t="s">
        <v>502</v>
      </c>
      <c r="C101">
        <v>35</v>
      </c>
      <c r="L101" t="s">
        <v>1659</v>
      </c>
      <c r="Q101" t="str">
        <f>B101&amp;" - "&amp;L101</f>
        <v>cloud-child - FF7</v>
      </c>
      <c r="S101" t="s">
        <v>363</v>
      </c>
      <c r="T101">
        <v>112</v>
      </c>
      <c r="U101">
        <f t="shared" si="3"/>
        <v>11</v>
      </c>
      <c r="V101">
        <f t="shared" si="4"/>
        <v>38</v>
      </c>
      <c r="W101" t="str">
        <f t="shared" si="5"/>
        <v>Terra (Amano)-JCollins-FF6</v>
      </c>
    </row>
    <row r="102" spans="1:23">
      <c r="A102">
        <v>262</v>
      </c>
      <c r="B102" t="s">
        <v>503</v>
      </c>
      <c r="C102">
        <v>41</v>
      </c>
      <c r="H102" t="s">
        <v>1583</v>
      </c>
      <c r="L102" t="s">
        <v>1659</v>
      </c>
      <c r="M102" t="s">
        <v>1681</v>
      </c>
      <c r="N102" t="s">
        <v>1681</v>
      </c>
      <c r="O102" t="s">
        <v>1685</v>
      </c>
      <c r="P102" t="s">
        <v>1662</v>
      </c>
      <c r="Q102" t="str">
        <f>B102&amp;" - "&amp;L102</f>
        <v>cloud-dress - FF7</v>
      </c>
      <c r="S102" t="s">
        <v>364</v>
      </c>
      <c r="T102">
        <v>113</v>
      </c>
      <c r="U102">
        <f t="shared" si="3"/>
        <v>11</v>
      </c>
      <c r="V102">
        <f t="shared" si="4"/>
        <v>33</v>
      </c>
      <c r="W102" t="str">
        <f t="shared" si="5"/>
        <v>Terra-MetroidQuest-EC</v>
      </c>
    </row>
    <row r="103" spans="1:23" hidden="1">
      <c r="A103">
        <v>263</v>
      </c>
      <c r="B103" t="s">
        <v>504</v>
      </c>
      <c r="G103">
        <v>35</v>
      </c>
      <c r="S103" t="s">
        <v>365</v>
      </c>
      <c r="T103">
        <v>114</v>
      </c>
      <c r="U103">
        <f t="shared" si="3"/>
        <v>11</v>
      </c>
      <c r="V103">
        <f t="shared" si="4"/>
        <v>35</v>
      </c>
      <c r="W103" t="str">
        <f t="shared" si="5"/>
        <v>Tiny Moogle-Rjenyawd-FF</v>
      </c>
    </row>
    <row r="104" spans="1:23" hidden="1">
      <c r="A104">
        <v>264</v>
      </c>
      <c r="B104" t="s">
        <v>505</v>
      </c>
      <c r="C104">
        <v>1</v>
      </c>
      <c r="H104" t="s">
        <v>1574</v>
      </c>
      <c r="S104" t="s">
        <v>366</v>
      </c>
      <c r="T104">
        <v>115</v>
      </c>
      <c r="U104">
        <f t="shared" si="3"/>
        <v>11</v>
      </c>
      <c r="V104">
        <f t="shared" si="4"/>
        <v>29</v>
      </c>
      <c r="W104" t="str">
        <f t="shared" si="5"/>
        <v>Tohka-HoxNorf-DAL</v>
      </c>
    </row>
    <row r="105" spans="1:23">
      <c r="A105">
        <v>265</v>
      </c>
      <c r="B105" t="s">
        <v>506</v>
      </c>
      <c r="C105">
        <v>124</v>
      </c>
      <c r="H105" t="s">
        <v>1613</v>
      </c>
      <c r="L105" t="s">
        <v>1658</v>
      </c>
      <c r="M105" t="s">
        <v>1681</v>
      </c>
      <c r="N105" t="s">
        <v>1681</v>
      </c>
      <c r="O105" t="s">
        <v>1685</v>
      </c>
      <c r="P105" t="s">
        <v>1662</v>
      </c>
      <c r="Q105" t="str">
        <f>B105&amp;" - "&amp;L105</f>
        <v>clyde - FF6</v>
      </c>
      <c r="S105" t="s">
        <v>367</v>
      </c>
      <c r="T105">
        <v>116</v>
      </c>
      <c r="U105">
        <f t="shared" si="3"/>
        <v>11</v>
      </c>
      <c r="V105">
        <f t="shared" si="4"/>
        <v>36</v>
      </c>
      <c r="W105" t="str">
        <f t="shared" si="5"/>
        <v>Tonberry-JamesWhite89-FF</v>
      </c>
    </row>
    <row r="106" spans="1:23" hidden="1">
      <c r="A106">
        <v>266</v>
      </c>
      <c r="B106" t="s">
        <v>1546</v>
      </c>
      <c r="C106">
        <v>150</v>
      </c>
      <c r="H106" t="s">
        <v>1546</v>
      </c>
      <c r="S106" t="s">
        <v>368</v>
      </c>
      <c r="T106">
        <v>117</v>
      </c>
      <c r="U106">
        <f t="shared" si="3"/>
        <v>11</v>
      </c>
      <c r="V106">
        <f t="shared" si="4"/>
        <v>31</v>
      </c>
      <c r="W106" t="str">
        <f t="shared" si="5"/>
        <v>Ultros-PocoLoco-FF6</v>
      </c>
    </row>
    <row r="107" spans="1:23" hidden="1">
      <c r="A107">
        <v>267</v>
      </c>
      <c r="B107" t="s">
        <v>507</v>
      </c>
      <c r="G107">
        <v>36</v>
      </c>
      <c r="S107" t="s">
        <v>369</v>
      </c>
      <c r="T107">
        <v>118</v>
      </c>
      <c r="U107">
        <f t="shared" si="3"/>
        <v>11</v>
      </c>
      <c r="V107">
        <f t="shared" si="4"/>
        <v>32</v>
      </c>
      <c r="W107" t="str">
        <f t="shared" si="5"/>
        <v>Uni-HoxNorf-Neptunia</v>
      </c>
    </row>
    <row r="108" spans="1:23" hidden="1">
      <c r="A108">
        <v>268</v>
      </c>
      <c r="B108" t="s">
        <v>508</v>
      </c>
      <c r="C108">
        <v>55</v>
      </c>
      <c r="D108">
        <v>90</v>
      </c>
      <c r="E108">
        <v>42</v>
      </c>
      <c r="H108" t="s">
        <v>1614</v>
      </c>
      <c r="I108" t="s">
        <v>1582</v>
      </c>
      <c r="J108" t="s">
        <v>1615</v>
      </c>
      <c r="S108" t="s">
        <v>370</v>
      </c>
      <c r="T108">
        <v>119</v>
      </c>
      <c r="U108">
        <f t="shared" si="3"/>
        <v>11</v>
      </c>
      <c r="V108">
        <f t="shared" si="4"/>
        <v>29</v>
      </c>
      <c r="W108" t="str">
        <f t="shared" si="5"/>
        <v>Vanille-FEOK-FF13</v>
      </c>
    </row>
    <row r="109" spans="1:23">
      <c r="A109">
        <v>269</v>
      </c>
      <c r="B109" t="s">
        <v>509</v>
      </c>
      <c r="C109">
        <v>23</v>
      </c>
      <c r="D109">
        <v>97</v>
      </c>
      <c r="H109" t="s">
        <v>1616</v>
      </c>
      <c r="I109" t="s">
        <v>1617</v>
      </c>
      <c r="L109" t="s">
        <v>1658</v>
      </c>
      <c r="M109" t="s">
        <v>1681</v>
      </c>
      <c r="N109" t="s">
        <v>1681</v>
      </c>
      <c r="O109" t="s">
        <v>1685</v>
      </c>
      <c r="P109" t="s">
        <v>1662</v>
      </c>
      <c r="Q109" t="str">
        <f>B109&amp;" - "&amp;L109</f>
        <v>cultist - FF6</v>
      </c>
      <c r="S109" t="s">
        <v>371</v>
      </c>
      <c r="T109">
        <v>120</v>
      </c>
      <c r="U109">
        <f t="shared" si="3"/>
        <v>11</v>
      </c>
      <c r="V109">
        <f t="shared" si="4"/>
        <v>29</v>
      </c>
      <c r="W109" t="str">
        <f t="shared" si="5"/>
        <v>Vivi-PocoLoco-FF9</v>
      </c>
    </row>
    <row r="110" spans="1:23" hidden="1">
      <c r="A110">
        <v>270</v>
      </c>
      <c r="B110" t="s">
        <v>510</v>
      </c>
      <c r="S110" t="s">
        <v>372</v>
      </c>
      <c r="T110">
        <v>121</v>
      </c>
      <c r="U110">
        <f t="shared" si="3"/>
        <v>11</v>
      </c>
      <c r="V110">
        <f t="shared" si="4"/>
        <v>35</v>
      </c>
      <c r="W110" t="str">
        <f t="shared" si="5"/>
        <v>White Mage-Matthew50-FF</v>
      </c>
    </row>
    <row r="111" spans="1:23" hidden="1">
      <c r="A111">
        <v>271</v>
      </c>
      <c r="B111" t="s">
        <v>511</v>
      </c>
      <c r="S111" t="s">
        <v>373</v>
      </c>
      <c r="T111">
        <v>122</v>
      </c>
      <c r="U111">
        <f t="shared" si="3"/>
        <v>11</v>
      </c>
      <c r="V111">
        <f t="shared" si="4"/>
        <v>32</v>
      </c>
      <c r="W111" t="str">
        <f t="shared" si="5"/>
        <v>Yang-SApprentice-FF4</v>
      </c>
    </row>
    <row r="112" spans="1:23" hidden="1">
      <c r="A112">
        <v>272</v>
      </c>
      <c r="B112" t="s">
        <v>512</v>
      </c>
      <c r="S112" t="s">
        <v>374</v>
      </c>
      <c r="T112">
        <v>123</v>
      </c>
      <c r="U112">
        <f t="shared" si="3"/>
        <v>11</v>
      </c>
      <c r="V112">
        <f t="shared" si="4"/>
        <v>30</v>
      </c>
      <c r="W112" t="str">
        <f t="shared" si="5"/>
        <v>Yuffie-HoxNorf-FF7</v>
      </c>
    </row>
    <row r="113" spans="1:23" hidden="1">
      <c r="A113">
        <v>273</v>
      </c>
      <c r="B113" t="s">
        <v>513</v>
      </c>
      <c r="S113" t="s">
        <v>375</v>
      </c>
      <c r="T113">
        <v>124</v>
      </c>
      <c r="U113">
        <f t="shared" si="3"/>
        <v>11</v>
      </c>
      <c r="V113">
        <f t="shared" si="4"/>
        <v>27</v>
      </c>
      <c r="W113" t="str">
        <f t="shared" si="5"/>
        <v>Zack-CtrlxZ-FF7</v>
      </c>
    </row>
    <row r="114" spans="1:23" hidden="1">
      <c r="A114">
        <v>274</v>
      </c>
      <c r="B114" t="s">
        <v>514</v>
      </c>
      <c r="S114" t="s">
        <v>376</v>
      </c>
      <c r="T114">
        <v>125</v>
      </c>
      <c r="U114">
        <f t="shared" si="3"/>
        <v>11</v>
      </c>
      <c r="V114">
        <f t="shared" si="4"/>
        <v>30</v>
      </c>
      <c r="W114" t="str">
        <f t="shared" si="5"/>
        <v>Zidane-HoxNorf-FF9</v>
      </c>
    </row>
    <row r="115" spans="1:23" hidden="1">
      <c r="A115">
        <v>275</v>
      </c>
      <c r="B115" t="s">
        <v>515</v>
      </c>
      <c r="S115" t="s">
        <v>377</v>
      </c>
      <c r="T115">
        <v>126</v>
      </c>
      <c r="U115">
        <f t="shared" si="3"/>
        <v>11</v>
      </c>
      <c r="V115">
        <f t="shared" si="4"/>
        <v>28</v>
      </c>
      <c r="W115" t="str">
        <f t="shared" si="5"/>
        <v>Kuja-HoxNorf-FF9</v>
      </c>
    </row>
    <row r="116" spans="1:23" hidden="1">
      <c r="A116">
        <v>276</v>
      </c>
      <c r="B116" t="s">
        <v>516</v>
      </c>
      <c r="S116" t="s">
        <v>378</v>
      </c>
      <c r="T116">
        <v>127</v>
      </c>
      <c r="U116">
        <f t="shared" si="3"/>
        <v>11</v>
      </c>
      <c r="V116">
        <f t="shared" si="4"/>
        <v>32</v>
      </c>
      <c r="W116" t="str">
        <f t="shared" si="5"/>
        <v>Reimu-HoxNorf-Touhou</v>
      </c>
    </row>
    <row r="117" spans="1:23" hidden="1">
      <c r="A117">
        <v>277</v>
      </c>
      <c r="B117" t="s">
        <v>517</v>
      </c>
      <c r="S117" t="s">
        <v>379</v>
      </c>
      <c r="T117">
        <v>128</v>
      </c>
      <c r="U117">
        <f t="shared" si="3"/>
        <v>11</v>
      </c>
      <c r="V117">
        <f t="shared" si="4"/>
        <v>32</v>
      </c>
      <c r="W117" t="str">
        <f t="shared" si="5"/>
        <v>Ram-HoxNorf-Neptunia</v>
      </c>
    </row>
    <row r="118" spans="1:23" hidden="1">
      <c r="A118">
        <v>278</v>
      </c>
      <c r="B118" t="s">
        <v>518</v>
      </c>
      <c r="S118" t="s">
        <v>380</v>
      </c>
      <c r="T118">
        <v>129</v>
      </c>
      <c r="U118">
        <f t="shared" si="3"/>
        <v>11</v>
      </c>
      <c r="V118">
        <f t="shared" si="4"/>
        <v>32</v>
      </c>
      <c r="W118" t="str">
        <f t="shared" si="5"/>
        <v>Rom-HoxNorf-Neptunia</v>
      </c>
    </row>
    <row r="119" spans="1:23" hidden="1">
      <c r="A119">
        <v>279</v>
      </c>
      <c r="B119" t="s">
        <v>519</v>
      </c>
      <c r="S119" t="s">
        <v>381</v>
      </c>
      <c r="T119">
        <v>130</v>
      </c>
      <c r="U119">
        <f t="shared" si="3"/>
        <v>11</v>
      </c>
      <c r="V119">
        <f t="shared" si="4"/>
        <v>35</v>
      </c>
      <c r="W119" t="str">
        <f t="shared" si="5"/>
        <v>Umaro (Morph)-CDude-FF6</v>
      </c>
    </row>
    <row r="120" spans="1:23">
      <c r="A120">
        <v>280</v>
      </c>
      <c r="B120" t="s">
        <v>520</v>
      </c>
      <c r="C120">
        <v>92</v>
      </c>
      <c r="D120">
        <v>37</v>
      </c>
      <c r="H120" t="s">
        <v>1607</v>
      </c>
      <c r="I120" t="s">
        <v>1618</v>
      </c>
      <c r="L120" t="s">
        <v>1658</v>
      </c>
      <c r="M120" t="s">
        <v>1681</v>
      </c>
      <c r="N120" t="s">
        <v>1681</v>
      </c>
      <c r="O120" t="s">
        <v>1685</v>
      </c>
      <c r="P120" t="s">
        <v>1662</v>
      </c>
      <c r="Q120" t="str">
        <f>B120&amp;" - "&amp;L120</f>
        <v>dancer - FF6</v>
      </c>
      <c r="S120" t="s">
        <v>382</v>
      </c>
      <c r="T120">
        <v>131</v>
      </c>
      <c r="U120">
        <f t="shared" si="3"/>
        <v>11</v>
      </c>
      <c r="V120">
        <f t="shared" si="4"/>
        <v>30</v>
      </c>
      <c r="W120" t="str">
        <f t="shared" si="5"/>
        <v>Sarisa-HoxNorf-FF5</v>
      </c>
    </row>
    <row r="121" spans="1:23" hidden="1">
      <c r="A121">
        <v>281</v>
      </c>
      <c r="B121" t="s">
        <v>521</v>
      </c>
      <c r="C121">
        <v>25</v>
      </c>
      <c r="H121" t="s">
        <v>1619</v>
      </c>
      <c r="S121" t="s">
        <v>383</v>
      </c>
      <c r="T121">
        <v>132</v>
      </c>
      <c r="U121">
        <f t="shared" si="3"/>
        <v>11</v>
      </c>
      <c r="V121">
        <f t="shared" si="4"/>
        <v>39</v>
      </c>
      <c r="W121" t="str">
        <f t="shared" si="5"/>
        <v>Lilith-HoxNorf-Darkstalkers</v>
      </c>
    </row>
    <row r="122" spans="1:23">
      <c r="A122">
        <v>282</v>
      </c>
      <c r="B122" t="s">
        <v>522</v>
      </c>
      <c r="C122">
        <v>26</v>
      </c>
      <c r="H122" t="s">
        <v>1603</v>
      </c>
      <c r="L122" t="s">
        <v>1669</v>
      </c>
      <c r="M122" t="s">
        <v>1681</v>
      </c>
      <c r="N122" t="s">
        <v>1681</v>
      </c>
      <c r="O122" t="s">
        <v>1685</v>
      </c>
      <c r="P122" t="s">
        <v>1662</v>
      </c>
      <c r="Q122" t="str">
        <f>B122&amp;" - "&amp;L122</f>
        <v>darkelf - FF4</v>
      </c>
      <c r="S122" t="s">
        <v>384</v>
      </c>
      <c r="T122">
        <v>133</v>
      </c>
      <c r="U122">
        <f t="shared" si="3"/>
        <v>11</v>
      </c>
      <c r="V122">
        <f t="shared" si="4"/>
        <v>33</v>
      </c>
      <c r="W122" t="str">
        <f t="shared" si="5"/>
        <v>Marisa-HoxNorf-Touhou</v>
      </c>
    </row>
    <row r="123" spans="1:23">
      <c r="A123">
        <v>283</v>
      </c>
      <c r="B123" t="s">
        <v>523</v>
      </c>
      <c r="C123">
        <v>66</v>
      </c>
      <c r="D123">
        <v>72</v>
      </c>
      <c r="E123">
        <v>92</v>
      </c>
      <c r="F123">
        <v>110</v>
      </c>
      <c r="H123" t="s">
        <v>1585</v>
      </c>
      <c r="I123" t="s">
        <v>1611</v>
      </c>
      <c r="J123" t="s">
        <v>1607</v>
      </c>
      <c r="K123" t="s">
        <v>1620</v>
      </c>
      <c r="L123" t="s">
        <v>1658</v>
      </c>
      <c r="M123" t="s">
        <v>1681</v>
      </c>
      <c r="N123" t="s">
        <v>1681</v>
      </c>
      <c r="O123" t="s">
        <v>1685</v>
      </c>
      <c r="P123" t="s">
        <v>1662</v>
      </c>
      <c r="Q123" t="str">
        <f>B123&amp;" - "&amp;L123</f>
        <v>daryl - FF6</v>
      </c>
      <c r="S123" t="s">
        <v>385</v>
      </c>
      <c r="T123">
        <v>135</v>
      </c>
      <c r="U123">
        <f t="shared" si="3"/>
        <v>11</v>
      </c>
      <c r="V123">
        <f t="shared" si="4"/>
        <v>32</v>
      </c>
      <c r="W123" t="str">
        <f t="shared" si="5"/>
        <v>Rumia-HoxNorf-Touhou</v>
      </c>
    </row>
    <row r="124" spans="1:23" hidden="1">
      <c r="A124">
        <v>284</v>
      </c>
      <c r="B124" t="s">
        <v>524</v>
      </c>
      <c r="S124" t="s">
        <v>386</v>
      </c>
      <c r="T124">
        <v>134</v>
      </c>
      <c r="U124">
        <f t="shared" si="3"/>
        <v>11</v>
      </c>
      <c r="V124">
        <f t="shared" si="4"/>
        <v>41</v>
      </c>
      <c r="W124" t="str">
        <f t="shared" si="5"/>
        <v>Papyrus-LoneRedMage-Undertale</v>
      </c>
    </row>
    <row r="125" spans="1:23" hidden="1">
      <c r="A125">
        <v>285</v>
      </c>
      <c r="B125" t="s">
        <v>525</v>
      </c>
      <c r="S125" t="s">
        <v>387</v>
      </c>
      <c r="T125">
        <v>136</v>
      </c>
      <c r="U125">
        <f t="shared" si="3"/>
        <v>11</v>
      </c>
      <c r="V125">
        <f t="shared" si="4"/>
        <v>38</v>
      </c>
      <c r="W125" t="str">
        <f t="shared" si="5"/>
        <v>Sans-LoneRedMage-Undertale</v>
      </c>
    </row>
    <row r="126" spans="1:23" hidden="1">
      <c r="A126">
        <v>286</v>
      </c>
      <c r="B126" t="s">
        <v>526</v>
      </c>
      <c r="S126" t="s">
        <v>388</v>
      </c>
      <c r="T126">
        <v>137</v>
      </c>
      <c r="U126">
        <f t="shared" si="3"/>
        <v>11</v>
      </c>
      <c r="V126">
        <f t="shared" si="4"/>
        <v>34</v>
      </c>
      <c r="W126" t="str">
        <f t="shared" si="5"/>
        <v>Toadette-HoxNorf-Mario</v>
      </c>
    </row>
    <row r="127" spans="1:23" hidden="1">
      <c r="A127">
        <v>287</v>
      </c>
      <c r="B127" t="s">
        <v>527</v>
      </c>
      <c r="S127" t="s">
        <v>389</v>
      </c>
      <c r="T127">
        <v>138</v>
      </c>
      <c r="U127">
        <f t="shared" si="3"/>
        <v>11</v>
      </c>
      <c r="V127">
        <f t="shared" si="4"/>
        <v>29</v>
      </c>
      <c r="W127" t="str">
        <f t="shared" si="5"/>
        <v>Talim-HoxNorf-SC4</v>
      </c>
    </row>
    <row r="128" spans="1:23" hidden="1">
      <c r="A128">
        <v>288</v>
      </c>
      <c r="B128" t="s">
        <v>528</v>
      </c>
      <c r="S128" t="s">
        <v>390</v>
      </c>
      <c r="T128">
        <v>139</v>
      </c>
      <c r="U128">
        <f t="shared" si="3"/>
        <v>11</v>
      </c>
      <c r="V128">
        <f t="shared" si="4"/>
        <v>32</v>
      </c>
      <c r="W128" t="str">
        <f t="shared" si="5"/>
        <v>Katt-ATinySpook-BOF2</v>
      </c>
    </row>
    <row r="129" spans="1:23" hidden="1">
      <c r="A129">
        <v>289</v>
      </c>
      <c r="B129" t="s">
        <v>529</v>
      </c>
      <c r="S129" t="s">
        <v>391</v>
      </c>
      <c r="T129">
        <v>140</v>
      </c>
      <c r="U129">
        <f t="shared" si="3"/>
        <v>11</v>
      </c>
      <c r="V129">
        <f t="shared" si="4"/>
        <v>42</v>
      </c>
      <c r="W129" t="str">
        <f t="shared" si="5"/>
        <v>Steve-PheonixMMKC777-Minecraft</v>
      </c>
    </row>
    <row r="130" spans="1:23" hidden="1">
      <c r="A130">
        <v>290</v>
      </c>
      <c r="B130" t="s">
        <v>530</v>
      </c>
      <c r="S130" t="s">
        <v>392</v>
      </c>
      <c r="T130">
        <v>141</v>
      </c>
      <c r="U130">
        <f t="shared" si="3"/>
        <v>11</v>
      </c>
      <c r="V130">
        <f t="shared" si="4"/>
        <v>34</v>
      </c>
      <c r="W130" t="str">
        <f t="shared" si="5"/>
        <v>Tonberry King-CDude-FF</v>
      </c>
    </row>
    <row r="131" spans="1:23" hidden="1">
      <c r="A131">
        <v>291</v>
      </c>
      <c r="B131" t="s">
        <v>531</v>
      </c>
      <c r="S131" t="s">
        <v>393</v>
      </c>
      <c r="T131">
        <v>142</v>
      </c>
      <c r="U131">
        <f t="shared" si="3"/>
        <v>11</v>
      </c>
      <c r="V131">
        <f t="shared" si="4"/>
        <v>36</v>
      </c>
      <c r="W131" t="str">
        <f t="shared" si="5"/>
        <v>Banjo Kazooie-HoxNorf-BK</v>
      </c>
    </row>
    <row r="132" spans="1:23" hidden="1">
      <c r="A132">
        <v>292</v>
      </c>
      <c r="B132" t="s">
        <v>532</v>
      </c>
      <c r="S132" t="s">
        <v>394</v>
      </c>
      <c r="T132">
        <v>143</v>
      </c>
      <c r="U132">
        <f t="shared" si="3"/>
        <v>11</v>
      </c>
      <c r="V132">
        <f t="shared" si="4"/>
        <v>28</v>
      </c>
      <c r="W132" t="str">
        <f t="shared" si="5"/>
        <v>PajaMog-CDude-FF</v>
      </c>
    </row>
    <row r="133" spans="1:23" hidden="1">
      <c r="A133">
        <v>293</v>
      </c>
      <c r="B133" t="s">
        <v>533</v>
      </c>
      <c r="C133">
        <v>27</v>
      </c>
      <c r="D133">
        <v>147</v>
      </c>
      <c r="H133" t="s">
        <v>1621</v>
      </c>
      <c r="I133" t="s">
        <v>1622</v>
      </c>
      <c r="Q133" t="str">
        <f>B133&amp;" - "&amp;L133</f>
        <v xml:space="preserve">doncorneo - </v>
      </c>
      <c r="S133" t="s">
        <v>395</v>
      </c>
      <c r="T133">
        <v>144</v>
      </c>
      <c r="U133">
        <f t="shared" si="3"/>
        <v>11</v>
      </c>
      <c r="V133">
        <f t="shared" si="4"/>
        <v>35</v>
      </c>
      <c r="W133" t="str">
        <f t="shared" si="5"/>
        <v>GrimLocke-Taloswind-FF6</v>
      </c>
    </row>
    <row r="134" spans="1:23" hidden="1">
      <c r="A134">
        <v>294</v>
      </c>
      <c r="B134" t="s">
        <v>534</v>
      </c>
      <c r="S134" t="s">
        <v>396</v>
      </c>
      <c r="T134">
        <v>145</v>
      </c>
      <c r="U134">
        <f t="shared" si="3"/>
        <v>11</v>
      </c>
      <c r="V134">
        <f t="shared" si="4"/>
        <v>31</v>
      </c>
      <c r="W134" t="str">
        <f t="shared" si="5"/>
        <v>Emperor-HoxNorf-FF2</v>
      </c>
    </row>
    <row r="135" spans="1:23" hidden="1">
      <c r="A135">
        <v>295</v>
      </c>
      <c r="B135" t="s">
        <v>535</v>
      </c>
      <c r="S135" t="s">
        <v>397</v>
      </c>
      <c r="T135">
        <v>146</v>
      </c>
      <c r="U135">
        <f t="shared" si="3"/>
        <v>11</v>
      </c>
      <c r="V135">
        <f t="shared" si="4"/>
        <v>31</v>
      </c>
      <c r="W135" t="str">
        <f t="shared" si="5"/>
        <v>Chen-HoxNorf-Touhou</v>
      </c>
    </row>
    <row r="136" spans="1:23" hidden="1">
      <c r="A136">
        <v>296</v>
      </c>
      <c r="B136" t="s">
        <v>536</v>
      </c>
      <c r="S136" t="s">
        <v>398</v>
      </c>
      <c r="T136">
        <v>147</v>
      </c>
      <c r="U136">
        <f t="shared" si="3"/>
        <v>11</v>
      </c>
      <c r="V136">
        <f t="shared" si="4"/>
        <v>31</v>
      </c>
      <c r="W136" t="str">
        <f t="shared" si="5"/>
        <v>Selphie-HoxNorf-FF8</v>
      </c>
    </row>
    <row r="137" spans="1:23" hidden="1">
      <c r="A137">
        <v>297</v>
      </c>
      <c r="B137" t="s">
        <v>537</v>
      </c>
      <c r="S137" t="s">
        <v>399</v>
      </c>
      <c r="T137">
        <v>148</v>
      </c>
      <c r="U137">
        <f t="shared" si="3"/>
        <v>11</v>
      </c>
      <c r="V137">
        <f t="shared" si="4"/>
        <v>27</v>
      </c>
      <c r="W137" t="str">
        <f t="shared" si="5"/>
        <v>Sora-HoxNorf-KH</v>
      </c>
    </row>
    <row r="138" spans="1:23">
      <c r="A138">
        <v>298</v>
      </c>
      <c r="B138" t="s">
        <v>538</v>
      </c>
      <c r="C138">
        <v>4</v>
      </c>
      <c r="D138">
        <v>68</v>
      </c>
      <c r="H138" t="s">
        <v>1577</v>
      </c>
      <c r="I138" t="s">
        <v>1604</v>
      </c>
      <c r="L138" t="s">
        <v>1658</v>
      </c>
      <c r="M138" t="s">
        <v>1681</v>
      </c>
      <c r="N138" t="s">
        <v>1681</v>
      </c>
      <c r="O138" t="s">
        <v>1685</v>
      </c>
      <c r="P138" t="s">
        <v>1662</v>
      </c>
      <c r="Q138" t="str">
        <f>B138&amp;" - "&amp;L138</f>
        <v>draco - FF6</v>
      </c>
      <c r="S138" t="s">
        <v>1492</v>
      </c>
      <c r="T138">
        <v>149</v>
      </c>
      <c r="U138">
        <f t="shared" ref="U138" si="6">FIND("""",S138,1)</f>
        <v>11</v>
      </c>
      <c r="V138">
        <f t="shared" ref="V138" si="7">FIND("""",S138,U138+1)</f>
        <v>30</v>
      </c>
      <c r="W138" t="str">
        <f t="shared" ref="W138" si="8">MID(S138,U138+1,V138-U138-1)</f>
        <v>Cid-DoubleDown-FF6</v>
      </c>
    </row>
    <row r="139" spans="1:23" hidden="1">
      <c r="A139">
        <v>299</v>
      </c>
      <c r="B139" t="s">
        <v>539</v>
      </c>
      <c r="S139" t="s">
        <v>1554</v>
      </c>
      <c r="T139">
        <v>150</v>
      </c>
      <c r="W139" t="s">
        <v>1546</v>
      </c>
    </row>
    <row r="140" spans="1:23" hidden="1">
      <c r="A140">
        <v>300</v>
      </c>
      <c r="B140" t="s">
        <v>540</v>
      </c>
    </row>
    <row r="141" spans="1:23" hidden="1">
      <c r="A141">
        <v>301</v>
      </c>
      <c r="B141" t="s">
        <v>541</v>
      </c>
    </row>
    <row r="142" spans="1:23" hidden="1">
      <c r="A142">
        <v>302</v>
      </c>
      <c r="B142" t="s">
        <v>542</v>
      </c>
    </row>
    <row r="143" spans="1:23" hidden="1">
      <c r="A143">
        <v>303</v>
      </c>
      <c r="B143" t="s">
        <v>543</v>
      </c>
    </row>
    <row r="144" spans="1:23" hidden="1">
      <c r="A144">
        <v>304</v>
      </c>
      <c r="B144" t="s">
        <v>544</v>
      </c>
    </row>
    <row r="145" spans="1:17" hidden="1">
      <c r="A145">
        <v>305</v>
      </c>
      <c r="B145" t="s">
        <v>545</v>
      </c>
    </row>
    <row r="146" spans="1:17" hidden="1">
      <c r="A146">
        <v>306</v>
      </c>
      <c r="B146" t="s">
        <v>546</v>
      </c>
      <c r="G146">
        <v>39</v>
      </c>
    </row>
    <row r="147" spans="1:17" hidden="1">
      <c r="A147">
        <v>307</v>
      </c>
      <c r="B147" t="s">
        <v>547</v>
      </c>
      <c r="G147">
        <v>41</v>
      </c>
    </row>
    <row r="148" spans="1:17">
      <c r="A148">
        <v>308</v>
      </c>
      <c r="B148" t="s">
        <v>548</v>
      </c>
      <c r="C148">
        <v>37</v>
      </c>
      <c r="D148">
        <v>148</v>
      </c>
      <c r="E148">
        <v>20</v>
      </c>
      <c r="H148" t="s">
        <v>1618</v>
      </c>
      <c r="I148" t="s">
        <v>1624</v>
      </c>
      <c r="J148" t="s">
        <v>1568</v>
      </c>
      <c r="L148" t="s">
        <v>1676</v>
      </c>
      <c r="M148" t="s">
        <v>1692</v>
      </c>
      <c r="N148" t="s">
        <v>1692</v>
      </c>
      <c r="O148" t="s">
        <v>1692</v>
      </c>
      <c r="P148" t="s">
        <v>1662</v>
      </c>
      <c r="Q148" t="str">
        <f>B148&amp;" - "&amp;L148</f>
        <v>eggman - Sonic</v>
      </c>
    </row>
    <row r="149" spans="1:17" hidden="1">
      <c r="A149">
        <v>309</v>
      </c>
      <c r="B149" t="s">
        <v>549</v>
      </c>
      <c r="G149">
        <v>43</v>
      </c>
    </row>
    <row r="150" spans="1:17" hidden="1">
      <c r="A150">
        <v>310</v>
      </c>
      <c r="B150" t="s">
        <v>550</v>
      </c>
    </row>
    <row r="151" spans="1:17">
      <c r="A151">
        <v>311</v>
      </c>
      <c r="B151" t="s">
        <v>551</v>
      </c>
      <c r="C151">
        <v>24</v>
      </c>
      <c r="D151">
        <v>41</v>
      </c>
      <c r="E151">
        <v>66</v>
      </c>
      <c r="F151">
        <v>119</v>
      </c>
      <c r="H151" t="s">
        <v>1610</v>
      </c>
      <c r="I151" t="s">
        <v>1583</v>
      </c>
      <c r="J151" t="s">
        <v>1585</v>
      </c>
      <c r="K151" t="s">
        <v>1625</v>
      </c>
      <c r="L151" t="s">
        <v>1658</v>
      </c>
      <c r="M151" t="s">
        <v>1685</v>
      </c>
      <c r="N151" t="s">
        <v>1684</v>
      </c>
      <c r="O151" t="s">
        <v>1685</v>
      </c>
      <c r="P151" t="s">
        <v>1687</v>
      </c>
      <c r="Q151" t="str">
        <f>B151&amp;" - "&amp;L151</f>
        <v>elder - FF6</v>
      </c>
    </row>
    <row r="152" spans="1:17">
      <c r="A152">
        <v>312</v>
      </c>
      <c r="B152" t="s">
        <v>552</v>
      </c>
      <c r="C152">
        <v>41</v>
      </c>
      <c r="D152">
        <v>106</v>
      </c>
      <c r="E152">
        <v>133</v>
      </c>
      <c r="H152" t="s">
        <v>1583</v>
      </c>
      <c r="I152" t="s">
        <v>1570</v>
      </c>
      <c r="J152" t="s">
        <v>1626</v>
      </c>
      <c r="L152" t="s">
        <v>1659</v>
      </c>
      <c r="M152" t="s">
        <v>1681</v>
      </c>
      <c r="N152" t="s">
        <v>1681</v>
      </c>
      <c r="O152" t="s">
        <v>1685</v>
      </c>
      <c r="P152" t="s">
        <v>1662</v>
      </c>
      <c r="Q152" t="str">
        <f>B152&amp;" - "&amp;L152</f>
        <v>elena - FF7</v>
      </c>
    </row>
    <row r="153" spans="1:17" hidden="1">
      <c r="A153">
        <v>313</v>
      </c>
      <c r="B153" t="s">
        <v>553</v>
      </c>
      <c r="C153">
        <v>24</v>
      </c>
      <c r="D153">
        <v>1</v>
      </c>
      <c r="I153" t="s">
        <v>1574</v>
      </c>
      <c r="L153" t="s">
        <v>1674</v>
      </c>
      <c r="Q153" t="str">
        <f>B153&amp;" - "&amp;L153</f>
        <v>ellone - FF8</v>
      </c>
    </row>
    <row r="154" spans="1:17" hidden="1">
      <c r="A154">
        <v>314</v>
      </c>
      <c r="B154" t="s">
        <v>554</v>
      </c>
    </row>
    <row r="155" spans="1:17" hidden="1">
      <c r="A155">
        <v>315</v>
      </c>
      <c r="B155" t="s">
        <v>555</v>
      </c>
    </row>
    <row r="156" spans="1:17" hidden="1">
      <c r="A156">
        <v>316</v>
      </c>
      <c r="B156" t="s">
        <v>556</v>
      </c>
    </row>
    <row r="157" spans="1:17" hidden="1">
      <c r="A157">
        <v>317</v>
      </c>
      <c r="B157" t="s">
        <v>557</v>
      </c>
    </row>
    <row r="158" spans="1:17" hidden="1">
      <c r="A158">
        <v>318</v>
      </c>
      <c r="B158" t="s">
        <v>558</v>
      </c>
    </row>
    <row r="159" spans="1:17" hidden="1">
      <c r="A159">
        <v>319</v>
      </c>
      <c r="B159" t="s">
        <v>559</v>
      </c>
    </row>
    <row r="160" spans="1:17">
      <c r="A160">
        <v>320</v>
      </c>
      <c r="B160" t="s">
        <v>560</v>
      </c>
      <c r="C160">
        <v>72</v>
      </c>
      <c r="D160">
        <v>145</v>
      </c>
      <c r="H160" t="s">
        <v>1611</v>
      </c>
      <c r="I160" t="s">
        <v>1627</v>
      </c>
      <c r="L160" t="s">
        <v>1658</v>
      </c>
      <c r="M160" t="s">
        <v>1681</v>
      </c>
      <c r="N160" t="s">
        <v>1681</v>
      </c>
      <c r="O160" t="s">
        <v>1685</v>
      </c>
      <c r="P160" t="s">
        <v>1662</v>
      </c>
      <c r="Q160" t="str">
        <f>B160&amp;" - "&amp;L160</f>
        <v>fairy - FF6</v>
      </c>
    </row>
    <row r="161" spans="1:17" hidden="1">
      <c r="A161">
        <v>321</v>
      </c>
      <c r="B161" t="s">
        <v>561</v>
      </c>
    </row>
    <row r="162" spans="1:17" hidden="1">
      <c r="A162">
        <v>322</v>
      </c>
      <c r="B162" t="s">
        <v>562</v>
      </c>
    </row>
    <row r="163" spans="1:17" hidden="1">
      <c r="A163">
        <v>323</v>
      </c>
      <c r="B163" t="s">
        <v>563</v>
      </c>
    </row>
    <row r="164" spans="1:17">
      <c r="A164">
        <v>324</v>
      </c>
      <c r="B164" t="s">
        <v>564</v>
      </c>
      <c r="C164">
        <v>3</v>
      </c>
      <c r="H164" t="s">
        <v>1576</v>
      </c>
      <c r="L164" t="s">
        <v>1658</v>
      </c>
      <c r="M164" t="s">
        <v>1681</v>
      </c>
      <c r="N164" t="s">
        <v>1681</v>
      </c>
      <c r="O164" t="s">
        <v>1685</v>
      </c>
      <c r="P164" t="s">
        <v>1662</v>
      </c>
      <c r="Q164" t="str">
        <f>B164&amp;" - "&amp;L164</f>
        <v>figaroguard - FF6</v>
      </c>
    </row>
    <row r="165" spans="1:17">
      <c r="A165">
        <v>325</v>
      </c>
      <c r="B165" t="s">
        <v>565</v>
      </c>
      <c r="C165">
        <v>85</v>
      </c>
      <c r="D165">
        <v>122</v>
      </c>
      <c r="E165">
        <v>127</v>
      </c>
      <c r="H165" t="s">
        <v>1581</v>
      </c>
      <c r="I165" t="s">
        <v>1586</v>
      </c>
      <c r="J165" t="s">
        <v>1571</v>
      </c>
      <c r="L165" t="s">
        <v>1675</v>
      </c>
      <c r="M165" t="s">
        <v>1685</v>
      </c>
      <c r="N165" t="s">
        <v>1684</v>
      </c>
      <c r="O165" t="s">
        <v>1685</v>
      </c>
      <c r="P165" t="s">
        <v>1687</v>
      </c>
      <c r="Q165" t="str">
        <f>B165&amp;" - "&amp;L165</f>
        <v>fighter-ff1 - FF1</v>
      </c>
    </row>
    <row r="166" spans="1:17" hidden="1">
      <c r="A166">
        <v>326</v>
      </c>
      <c r="B166" t="s">
        <v>566</v>
      </c>
    </row>
    <row r="167" spans="1:17" hidden="1">
      <c r="A167">
        <v>327</v>
      </c>
      <c r="B167" t="s">
        <v>567</v>
      </c>
    </row>
    <row r="168" spans="1:17" hidden="1">
      <c r="A168">
        <v>328</v>
      </c>
      <c r="B168" t="s">
        <v>568</v>
      </c>
    </row>
    <row r="169" spans="1:17" hidden="1">
      <c r="A169">
        <v>329</v>
      </c>
      <c r="B169" t="s">
        <v>569</v>
      </c>
    </row>
    <row r="170" spans="1:17">
      <c r="A170">
        <v>330</v>
      </c>
      <c r="B170" t="s">
        <v>570</v>
      </c>
      <c r="C170">
        <v>21</v>
      </c>
      <c r="D170">
        <v>98</v>
      </c>
      <c r="H170" t="s">
        <v>1609</v>
      </c>
      <c r="I170" t="s">
        <v>1628</v>
      </c>
      <c r="L170" t="s">
        <v>1673</v>
      </c>
      <c r="M170" t="s">
        <v>1688</v>
      </c>
      <c r="N170" t="s">
        <v>1688</v>
      </c>
      <c r="O170" t="s">
        <v>1688</v>
      </c>
      <c r="P170" t="s">
        <v>1688</v>
      </c>
      <c r="Q170" t="str">
        <f>B170&amp;" - "&amp;L170</f>
        <v>fluteboy - Link to the Past</v>
      </c>
    </row>
    <row r="171" spans="1:17" hidden="1">
      <c r="A171">
        <v>331</v>
      </c>
      <c r="B171" t="s">
        <v>571</v>
      </c>
    </row>
    <row r="172" spans="1:17" hidden="1">
      <c r="A172">
        <v>332</v>
      </c>
      <c r="B172" t="s">
        <v>572</v>
      </c>
    </row>
    <row r="173" spans="1:17" hidden="1">
      <c r="A173">
        <v>333</v>
      </c>
      <c r="B173" t="s">
        <v>573</v>
      </c>
    </row>
    <row r="174" spans="1:17" hidden="1">
      <c r="A174">
        <v>334</v>
      </c>
      <c r="B174" t="s">
        <v>574</v>
      </c>
    </row>
    <row r="175" spans="1:17" hidden="1">
      <c r="A175">
        <v>335</v>
      </c>
      <c r="B175" t="s">
        <v>575</v>
      </c>
    </row>
    <row r="176" spans="1:17" hidden="1">
      <c r="A176">
        <v>336</v>
      </c>
      <c r="B176" t="s">
        <v>576</v>
      </c>
    </row>
    <row r="177" spans="1:2" hidden="1">
      <c r="A177">
        <v>337</v>
      </c>
      <c r="B177" t="s">
        <v>577</v>
      </c>
    </row>
    <row r="178" spans="1:2" hidden="1">
      <c r="A178">
        <v>338</v>
      </c>
      <c r="B178" t="s">
        <v>578</v>
      </c>
    </row>
    <row r="179" spans="1:2" hidden="1">
      <c r="A179">
        <v>339</v>
      </c>
      <c r="B179" t="s">
        <v>579</v>
      </c>
    </row>
    <row r="180" spans="1:2" hidden="1">
      <c r="A180">
        <v>340</v>
      </c>
      <c r="B180" t="s">
        <v>580</v>
      </c>
    </row>
    <row r="181" spans="1:2" hidden="1">
      <c r="A181">
        <v>341</v>
      </c>
      <c r="B181" t="s">
        <v>581</v>
      </c>
    </row>
    <row r="182" spans="1:2" hidden="1">
      <c r="A182">
        <v>342</v>
      </c>
      <c r="B182" t="s">
        <v>582</v>
      </c>
    </row>
    <row r="183" spans="1:2" hidden="1">
      <c r="A183">
        <v>343</v>
      </c>
      <c r="B183" t="s">
        <v>583</v>
      </c>
    </row>
    <row r="184" spans="1:2" hidden="1">
      <c r="A184">
        <v>344</v>
      </c>
      <c r="B184" t="s">
        <v>584</v>
      </c>
    </row>
    <row r="185" spans="1:2" hidden="1">
      <c r="A185">
        <v>345</v>
      </c>
      <c r="B185" t="s">
        <v>585</v>
      </c>
    </row>
    <row r="186" spans="1:2" hidden="1">
      <c r="A186">
        <v>346</v>
      </c>
      <c r="B186" t="s">
        <v>586</v>
      </c>
    </row>
    <row r="187" spans="1:2" hidden="1">
      <c r="A187">
        <v>347</v>
      </c>
      <c r="B187" t="s">
        <v>587</v>
      </c>
    </row>
    <row r="188" spans="1:2" hidden="1">
      <c r="A188">
        <v>348</v>
      </c>
      <c r="B188" t="s">
        <v>588</v>
      </c>
    </row>
    <row r="189" spans="1:2" hidden="1">
      <c r="A189">
        <v>349</v>
      </c>
      <c r="B189" t="s">
        <v>589</v>
      </c>
    </row>
    <row r="190" spans="1:2" hidden="1">
      <c r="A190">
        <v>350</v>
      </c>
      <c r="B190" t="s">
        <v>590</v>
      </c>
    </row>
    <row r="191" spans="1:2" hidden="1">
      <c r="A191">
        <v>351</v>
      </c>
      <c r="B191" t="s">
        <v>591</v>
      </c>
    </row>
    <row r="192" spans="1:2" hidden="1">
      <c r="A192">
        <v>352</v>
      </c>
      <c r="B192" t="s">
        <v>592</v>
      </c>
    </row>
    <row r="193" spans="1:17" hidden="1">
      <c r="A193">
        <v>353</v>
      </c>
      <c r="B193" t="s">
        <v>593</v>
      </c>
    </row>
    <row r="194" spans="1:17" hidden="1">
      <c r="A194">
        <v>354</v>
      </c>
      <c r="B194" t="s">
        <v>594</v>
      </c>
    </row>
    <row r="195" spans="1:17" hidden="1">
      <c r="A195">
        <v>355</v>
      </c>
      <c r="B195" t="s">
        <v>595</v>
      </c>
      <c r="G195">
        <v>59</v>
      </c>
    </row>
    <row r="196" spans="1:17" hidden="1">
      <c r="A196">
        <v>356</v>
      </c>
      <c r="B196" t="s">
        <v>596</v>
      </c>
    </row>
    <row r="197" spans="1:17" hidden="1">
      <c r="A197">
        <v>357</v>
      </c>
      <c r="B197" t="s">
        <v>597</v>
      </c>
    </row>
    <row r="198" spans="1:17" hidden="1">
      <c r="A198">
        <v>358</v>
      </c>
      <c r="B198" t="s">
        <v>598</v>
      </c>
    </row>
    <row r="199" spans="1:17" hidden="1">
      <c r="A199">
        <v>359</v>
      </c>
      <c r="B199" t="s">
        <v>599</v>
      </c>
    </row>
    <row r="200" spans="1:17">
      <c r="A200">
        <v>360</v>
      </c>
      <c r="B200" t="s">
        <v>600</v>
      </c>
      <c r="C200">
        <v>20</v>
      </c>
      <c r="D200">
        <v>44</v>
      </c>
      <c r="E200">
        <v>146</v>
      </c>
      <c r="H200" t="s">
        <v>1568</v>
      </c>
      <c r="I200" t="s">
        <v>1629</v>
      </c>
      <c r="J200" t="s">
        <v>1592</v>
      </c>
      <c r="L200" t="s">
        <v>1658</v>
      </c>
      <c r="M200" t="s">
        <v>1685</v>
      </c>
      <c r="N200" t="s">
        <v>1684</v>
      </c>
      <c r="O200" t="s">
        <v>1685</v>
      </c>
      <c r="P200" t="s">
        <v>1687</v>
      </c>
      <c r="Q200" t="str">
        <f>B200&amp;" - "&amp;L200</f>
        <v>girl - FF6</v>
      </c>
    </row>
    <row r="201" spans="1:17" hidden="1">
      <c r="A201">
        <v>361</v>
      </c>
      <c r="B201" t="s">
        <v>601</v>
      </c>
    </row>
    <row r="202" spans="1:17" hidden="1">
      <c r="A202">
        <v>362</v>
      </c>
      <c r="B202" t="s">
        <v>602</v>
      </c>
    </row>
    <row r="203" spans="1:17" hidden="1">
      <c r="A203">
        <v>363</v>
      </c>
      <c r="B203" t="s">
        <v>603</v>
      </c>
    </row>
    <row r="204" spans="1:17" hidden="1">
      <c r="A204">
        <v>364</v>
      </c>
      <c r="B204" t="s">
        <v>604</v>
      </c>
    </row>
    <row r="205" spans="1:17" hidden="1">
      <c r="A205">
        <v>365</v>
      </c>
      <c r="B205" t="s">
        <v>605</v>
      </c>
    </row>
    <row r="206" spans="1:17" hidden="1">
      <c r="A206">
        <v>366</v>
      </c>
      <c r="B206" t="s">
        <v>606</v>
      </c>
    </row>
    <row r="207" spans="1:17">
      <c r="A207">
        <v>367</v>
      </c>
      <c r="B207" t="s">
        <v>607</v>
      </c>
      <c r="C207">
        <v>25</v>
      </c>
      <c r="H207" t="s">
        <v>1619</v>
      </c>
      <c r="L207" t="s">
        <v>1658</v>
      </c>
      <c r="M207" t="s">
        <v>1681</v>
      </c>
      <c r="N207" t="s">
        <v>1681</v>
      </c>
      <c r="O207" t="s">
        <v>1685</v>
      </c>
      <c r="P207" t="s">
        <v>1662</v>
      </c>
      <c r="Q207" t="str">
        <f>B207&amp;" - "&amp;L207</f>
        <v>grandma - FF6</v>
      </c>
    </row>
    <row r="208" spans="1:17" hidden="1">
      <c r="A208">
        <v>368</v>
      </c>
      <c r="B208" t="s">
        <v>608</v>
      </c>
    </row>
    <row r="209" spans="1:17" hidden="1">
      <c r="A209">
        <v>369</v>
      </c>
      <c r="B209" t="s">
        <v>609</v>
      </c>
    </row>
    <row r="210" spans="1:17" hidden="1">
      <c r="A210">
        <v>370</v>
      </c>
      <c r="B210" t="s">
        <v>610</v>
      </c>
    </row>
    <row r="211" spans="1:17" hidden="1">
      <c r="A211">
        <v>371</v>
      </c>
      <c r="B211" t="s">
        <v>611</v>
      </c>
    </row>
    <row r="212" spans="1:17" hidden="1">
      <c r="A212">
        <v>372</v>
      </c>
      <c r="B212" t="s">
        <v>612</v>
      </c>
    </row>
    <row r="213" spans="1:17" hidden="1">
      <c r="A213">
        <v>373</v>
      </c>
      <c r="B213" t="s">
        <v>613</v>
      </c>
    </row>
    <row r="214" spans="1:17" hidden="1">
      <c r="A214">
        <v>374</v>
      </c>
      <c r="B214" t="s">
        <v>614</v>
      </c>
    </row>
    <row r="215" spans="1:17">
      <c r="A215">
        <v>375</v>
      </c>
      <c r="B215" t="s">
        <v>615</v>
      </c>
      <c r="C215">
        <v>104</v>
      </c>
      <c r="D215">
        <v>4</v>
      </c>
      <c r="H215" t="s">
        <v>1572</v>
      </c>
      <c r="I215" t="s">
        <v>1577</v>
      </c>
      <c r="L215" t="s">
        <v>1659</v>
      </c>
      <c r="M215" s="5" t="s">
        <v>1660</v>
      </c>
      <c r="N215" s="5" t="s">
        <v>1660</v>
      </c>
      <c r="O215" t="s">
        <v>1685</v>
      </c>
      <c r="P215" t="s">
        <v>1662</v>
      </c>
      <c r="Q215" t="str">
        <f>B215&amp;" - "&amp;L215</f>
        <v>hojo - FF7</v>
      </c>
    </row>
    <row r="216" spans="1:17" hidden="1">
      <c r="A216">
        <v>376</v>
      </c>
      <c r="B216" t="s">
        <v>616</v>
      </c>
    </row>
    <row r="217" spans="1:17" hidden="1">
      <c r="A217">
        <v>377</v>
      </c>
      <c r="B217" t="s">
        <v>617</v>
      </c>
    </row>
    <row r="218" spans="1:17" hidden="1">
      <c r="A218">
        <v>378</v>
      </c>
      <c r="B218" t="s">
        <v>618</v>
      </c>
    </row>
    <row r="219" spans="1:17" hidden="1">
      <c r="A219">
        <v>379</v>
      </c>
      <c r="B219" t="s">
        <v>619</v>
      </c>
    </row>
    <row r="220" spans="1:17" hidden="1">
      <c r="A220">
        <v>380</v>
      </c>
      <c r="B220" t="s">
        <v>620</v>
      </c>
    </row>
    <row r="221" spans="1:17" hidden="1">
      <c r="A221">
        <v>381</v>
      </c>
      <c r="B221" t="s">
        <v>621</v>
      </c>
    </row>
    <row r="222" spans="1:17" hidden="1">
      <c r="A222">
        <v>382</v>
      </c>
      <c r="B222" t="s">
        <v>622</v>
      </c>
    </row>
    <row r="223" spans="1:17" hidden="1">
      <c r="A223">
        <v>383</v>
      </c>
      <c r="B223" t="s">
        <v>623</v>
      </c>
    </row>
    <row r="224" spans="1:17" hidden="1">
      <c r="A224">
        <v>384</v>
      </c>
      <c r="B224" t="s">
        <v>624</v>
      </c>
    </row>
    <row r="225" spans="1:2" hidden="1">
      <c r="A225">
        <v>385</v>
      </c>
      <c r="B225" t="s">
        <v>625</v>
      </c>
    </row>
    <row r="226" spans="1:2" hidden="1">
      <c r="A226">
        <v>386</v>
      </c>
      <c r="B226" t="s">
        <v>626</v>
      </c>
    </row>
    <row r="227" spans="1:2" hidden="1">
      <c r="A227">
        <v>387</v>
      </c>
      <c r="B227" t="s">
        <v>627</v>
      </c>
    </row>
    <row r="228" spans="1:2" hidden="1">
      <c r="A228">
        <v>388</v>
      </c>
      <c r="B228" t="s">
        <v>628</v>
      </c>
    </row>
    <row r="229" spans="1:2" hidden="1">
      <c r="A229">
        <v>389</v>
      </c>
      <c r="B229" t="s">
        <v>629</v>
      </c>
    </row>
    <row r="230" spans="1:2" hidden="1">
      <c r="A230">
        <v>390</v>
      </c>
      <c r="B230" t="s">
        <v>630</v>
      </c>
    </row>
    <row r="231" spans="1:2" hidden="1">
      <c r="A231">
        <v>391</v>
      </c>
      <c r="B231" t="s">
        <v>631</v>
      </c>
    </row>
    <row r="232" spans="1:2" hidden="1">
      <c r="A232">
        <v>392</v>
      </c>
      <c r="B232" t="s">
        <v>632</v>
      </c>
    </row>
    <row r="233" spans="1:2" hidden="1">
      <c r="A233">
        <v>393</v>
      </c>
      <c r="B233" t="s">
        <v>633</v>
      </c>
    </row>
    <row r="234" spans="1:2" hidden="1">
      <c r="A234">
        <v>394</v>
      </c>
      <c r="B234" t="s">
        <v>634</v>
      </c>
    </row>
    <row r="235" spans="1:2" hidden="1">
      <c r="A235">
        <v>395</v>
      </c>
      <c r="B235" t="s">
        <v>635</v>
      </c>
    </row>
    <row r="236" spans="1:2" hidden="1">
      <c r="A236">
        <v>396</v>
      </c>
      <c r="B236" t="s">
        <v>636</v>
      </c>
    </row>
    <row r="237" spans="1:2" hidden="1">
      <c r="A237">
        <v>397</v>
      </c>
      <c r="B237" t="s">
        <v>637</v>
      </c>
    </row>
    <row r="238" spans="1:2" hidden="1">
      <c r="A238">
        <v>398</v>
      </c>
      <c r="B238" t="s">
        <v>638</v>
      </c>
    </row>
    <row r="239" spans="1:2" hidden="1">
      <c r="A239">
        <v>399</v>
      </c>
      <c r="B239" t="s">
        <v>639</v>
      </c>
    </row>
    <row r="240" spans="1:2" hidden="1">
      <c r="A240">
        <v>400</v>
      </c>
      <c r="B240" t="s">
        <v>640</v>
      </c>
    </row>
    <row r="241" spans="1:17" hidden="1">
      <c r="A241">
        <v>401</v>
      </c>
      <c r="B241" t="s">
        <v>641</v>
      </c>
    </row>
    <row r="242" spans="1:17" hidden="1">
      <c r="A242">
        <v>402</v>
      </c>
      <c r="B242" t="s">
        <v>642</v>
      </c>
    </row>
    <row r="243" spans="1:17" hidden="1">
      <c r="A243">
        <v>403</v>
      </c>
      <c r="B243" t="s">
        <v>643</v>
      </c>
    </row>
    <row r="244" spans="1:17" hidden="1">
      <c r="A244">
        <v>404</v>
      </c>
      <c r="B244" t="s">
        <v>644</v>
      </c>
    </row>
    <row r="245" spans="1:17" hidden="1">
      <c r="A245">
        <v>405</v>
      </c>
      <c r="B245" t="s">
        <v>645</v>
      </c>
    </row>
    <row r="246" spans="1:17">
      <c r="A246">
        <v>406</v>
      </c>
      <c r="B246" t="s">
        <v>646</v>
      </c>
      <c r="C246">
        <v>66</v>
      </c>
      <c r="H246" t="s">
        <v>1585</v>
      </c>
      <c r="L246" t="s">
        <v>1658</v>
      </c>
      <c r="M246" t="s">
        <v>1681</v>
      </c>
      <c r="N246" t="s">
        <v>1681</v>
      </c>
      <c r="O246" t="s">
        <v>1685</v>
      </c>
      <c r="P246" t="s">
        <v>1662</v>
      </c>
      <c r="Q246" t="str">
        <f>B246&amp;" - "&amp;L246</f>
        <v>katarin - FF6</v>
      </c>
    </row>
    <row r="247" spans="1:17" hidden="1">
      <c r="A247">
        <v>407</v>
      </c>
      <c r="B247" t="s">
        <v>647</v>
      </c>
    </row>
    <row r="248" spans="1:17" hidden="1">
      <c r="A248">
        <v>408</v>
      </c>
      <c r="B248" t="s">
        <v>648</v>
      </c>
    </row>
    <row r="249" spans="1:17" hidden="1">
      <c r="A249">
        <v>409</v>
      </c>
      <c r="B249" t="s">
        <v>649</v>
      </c>
      <c r="C249">
        <v>34</v>
      </c>
      <c r="D249">
        <v>45</v>
      </c>
      <c r="E249">
        <v>122</v>
      </c>
      <c r="H249" t="s">
        <v>1593</v>
      </c>
      <c r="I249" t="s">
        <v>1584</v>
      </c>
      <c r="J249" t="s">
        <v>1586</v>
      </c>
    </row>
    <row r="250" spans="1:17" hidden="1">
      <c r="A250">
        <v>410</v>
      </c>
      <c r="B250" t="s">
        <v>650</v>
      </c>
    </row>
    <row r="251" spans="1:17" hidden="1">
      <c r="A251">
        <v>411</v>
      </c>
      <c r="B251" t="s">
        <v>651</v>
      </c>
      <c r="C251">
        <v>5</v>
      </c>
      <c r="D251">
        <v>72</v>
      </c>
      <c r="E251">
        <v>137</v>
      </c>
      <c r="H251" t="s">
        <v>1578</v>
      </c>
      <c r="I251" t="s">
        <v>1611</v>
      </c>
      <c r="J251" t="s">
        <v>1595</v>
      </c>
    </row>
    <row r="252" spans="1:17">
      <c r="A252">
        <v>412</v>
      </c>
      <c r="B252" t="s">
        <v>652</v>
      </c>
      <c r="C252">
        <v>124</v>
      </c>
      <c r="H252" t="s">
        <v>1613</v>
      </c>
      <c r="L252" t="s">
        <v>1674</v>
      </c>
      <c r="M252" t="s">
        <v>1685</v>
      </c>
      <c r="N252" t="s">
        <v>1684</v>
      </c>
      <c r="O252" t="s">
        <v>1685</v>
      </c>
      <c r="P252" t="s">
        <v>1689</v>
      </c>
      <c r="Q252" t="str">
        <f>B252&amp;" - "&amp;L252</f>
        <v>kiros-soldier - FF8</v>
      </c>
    </row>
    <row r="253" spans="1:17" hidden="1">
      <c r="A253">
        <v>413</v>
      </c>
      <c r="B253" t="s">
        <v>653</v>
      </c>
    </row>
    <row r="254" spans="1:17" hidden="1">
      <c r="A254">
        <v>414</v>
      </c>
      <c r="B254" t="s">
        <v>654</v>
      </c>
    </row>
    <row r="255" spans="1:17">
      <c r="A255">
        <v>415</v>
      </c>
      <c r="B255" t="s">
        <v>655</v>
      </c>
      <c r="C255">
        <v>94</v>
      </c>
      <c r="D255">
        <v>85</v>
      </c>
      <c r="E255">
        <v>75</v>
      </c>
      <c r="H255" t="s">
        <v>1630</v>
      </c>
      <c r="I255" t="s">
        <v>1581</v>
      </c>
      <c r="J255" t="s">
        <v>1631</v>
      </c>
      <c r="L255" t="s">
        <v>1676</v>
      </c>
      <c r="M255" t="s">
        <v>1692</v>
      </c>
      <c r="N255" t="s">
        <v>1692</v>
      </c>
      <c r="O255" t="s">
        <v>1692</v>
      </c>
      <c r="P255" t="s">
        <v>1662</v>
      </c>
      <c r="Q255" t="str">
        <f>B255&amp;" - "&amp;L255</f>
        <v>knuckles - Sonic</v>
      </c>
    </row>
    <row r="256" spans="1:17" hidden="1">
      <c r="A256">
        <v>416</v>
      </c>
      <c r="B256" t="s">
        <v>656</v>
      </c>
    </row>
    <row r="257" spans="1:17" hidden="1">
      <c r="A257">
        <v>417</v>
      </c>
      <c r="B257" t="s">
        <v>657</v>
      </c>
    </row>
    <row r="258" spans="1:17" hidden="1">
      <c r="A258">
        <v>418</v>
      </c>
      <c r="B258" t="s">
        <v>658</v>
      </c>
    </row>
    <row r="259" spans="1:17" hidden="1">
      <c r="A259">
        <v>419</v>
      </c>
      <c r="B259" t="s">
        <v>659</v>
      </c>
    </row>
    <row r="260" spans="1:17">
      <c r="A260">
        <v>420</v>
      </c>
      <c r="B260" t="s">
        <v>660</v>
      </c>
      <c r="C260">
        <v>106</v>
      </c>
      <c r="H260" t="s">
        <v>1570</v>
      </c>
      <c r="L260" t="s">
        <v>1658</v>
      </c>
      <c r="M260" t="s">
        <v>1681</v>
      </c>
      <c r="N260" t="s">
        <v>1681</v>
      </c>
      <c r="O260" t="s">
        <v>1685</v>
      </c>
      <c r="P260" t="s">
        <v>1662</v>
      </c>
      <c r="Q260" t="str">
        <f>B260&amp;" - "&amp;L260</f>
        <v>lady - FF6</v>
      </c>
    </row>
    <row r="261" spans="1:17" hidden="1">
      <c r="A261">
        <v>421</v>
      </c>
      <c r="B261" t="s">
        <v>661</v>
      </c>
    </row>
    <row r="262" spans="1:17" hidden="1">
      <c r="A262">
        <v>422</v>
      </c>
      <c r="B262" t="s">
        <v>662</v>
      </c>
    </row>
    <row r="263" spans="1:17" hidden="1">
      <c r="A263">
        <v>423</v>
      </c>
      <c r="B263" t="s">
        <v>663</v>
      </c>
    </row>
    <row r="264" spans="1:17" hidden="1">
      <c r="A264">
        <v>424</v>
      </c>
      <c r="B264" t="s">
        <v>664</v>
      </c>
    </row>
    <row r="265" spans="1:17" hidden="1">
      <c r="A265">
        <v>425</v>
      </c>
      <c r="B265" t="s">
        <v>665</v>
      </c>
    </row>
    <row r="266" spans="1:17" hidden="1">
      <c r="A266">
        <v>426</v>
      </c>
      <c r="B266" t="s">
        <v>666</v>
      </c>
    </row>
    <row r="267" spans="1:17" hidden="1">
      <c r="A267">
        <v>427</v>
      </c>
      <c r="B267" t="s">
        <v>667</v>
      </c>
    </row>
    <row r="268" spans="1:17" hidden="1">
      <c r="A268">
        <v>428</v>
      </c>
      <c r="B268" t="s">
        <v>668</v>
      </c>
    </row>
    <row r="269" spans="1:17" hidden="1">
      <c r="A269">
        <v>429</v>
      </c>
      <c r="B269" t="s">
        <v>669</v>
      </c>
    </row>
    <row r="270" spans="1:17" hidden="1">
      <c r="A270">
        <v>430</v>
      </c>
      <c r="B270" t="s">
        <v>670</v>
      </c>
    </row>
    <row r="271" spans="1:17" hidden="1">
      <c r="A271">
        <v>431</v>
      </c>
      <c r="B271" t="s">
        <v>671</v>
      </c>
    </row>
    <row r="272" spans="1:17" hidden="1">
      <c r="A272">
        <v>432</v>
      </c>
      <c r="B272" t="s">
        <v>672</v>
      </c>
    </row>
    <row r="273" spans="1:17" hidden="1">
      <c r="A273">
        <v>433</v>
      </c>
      <c r="B273" t="s">
        <v>673</v>
      </c>
    </row>
    <row r="274" spans="1:17" hidden="1">
      <c r="A274">
        <v>434</v>
      </c>
      <c r="B274" t="s">
        <v>674</v>
      </c>
    </row>
    <row r="275" spans="1:17" hidden="1">
      <c r="A275">
        <v>435</v>
      </c>
      <c r="B275" t="s">
        <v>675</v>
      </c>
    </row>
    <row r="276" spans="1:17" hidden="1">
      <c r="A276">
        <v>436</v>
      </c>
      <c r="B276" t="s">
        <v>676</v>
      </c>
    </row>
    <row r="277" spans="1:17" hidden="1">
      <c r="A277">
        <v>437</v>
      </c>
      <c r="B277" t="s">
        <v>677</v>
      </c>
    </row>
    <row r="278" spans="1:17" hidden="1">
      <c r="A278">
        <v>438</v>
      </c>
      <c r="B278" t="s">
        <v>678</v>
      </c>
    </row>
    <row r="279" spans="1:17" hidden="1">
      <c r="A279">
        <v>439</v>
      </c>
      <c r="B279" t="s">
        <v>679</v>
      </c>
    </row>
    <row r="280" spans="1:17">
      <c r="A280">
        <v>440</v>
      </c>
      <c r="B280" t="s">
        <v>680</v>
      </c>
      <c r="C280">
        <v>46</v>
      </c>
      <c r="D280">
        <v>37</v>
      </c>
      <c r="H280" t="s">
        <v>1598</v>
      </c>
      <c r="I280" t="s">
        <v>1618</v>
      </c>
      <c r="L280" t="s">
        <v>1673</v>
      </c>
      <c r="M280" t="s">
        <v>1681</v>
      </c>
      <c r="N280" t="s">
        <v>1681</v>
      </c>
      <c r="O280" t="s">
        <v>1685</v>
      </c>
      <c r="P280" t="s">
        <v>1662</v>
      </c>
      <c r="Q280" t="str">
        <f>B280&amp;" - "&amp;L280</f>
        <v>link - Link to the Past</v>
      </c>
    </row>
    <row r="281" spans="1:17" hidden="1">
      <c r="A281">
        <v>441</v>
      </c>
      <c r="B281" t="s">
        <v>681</v>
      </c>
    </row>
    <row r="282" spans="1:17" hidden="1">
      <c r="A282">
        <v>442</v>
      </c>
      <c r="B282" t="s">
        <v>682</v>
      </c>
    </row>
    <row r="283" spans="1:17" hidden="1">
      <c r="A283">
        <v>443</v>
      </c>
      <c r="B283" t="s">
        <v>683</v>
      </c>
    </row>
    <row r="284" spans="1:17" hidden="1">
      <c r="A284">
        <v>444</v>
      </c>
      <c r="B284" t="s">
        <v>684</v>
      </c>
    </row>
    <row r="285" spans="1:17">
      <c r="A285">
        <v>445</v>
      </c>
      <c r="B285" t="s">
        <v>685</v>
      </c>
      <c r="C285">
        <v>0</v>
      </c>
      <c r="H285" t="s">
        <v>1573</v>
      </c>
      <c r="L285" t="s">
        <v>1658</v>
      </c>
      <c r="M285" t="s">
        <v>1681</v>
      </c>
      <c r="N285" t="s">
        <v>1681</v>
      </c>
      <c r="O285" t="s">
        <v>1685</v>
      </c>
      <c r="P285" t="s">
        <v>1662</v>
      </c>
      <c r="Q285" t="str">
        <f>B285&amp;" - "&amp;L285</f>
        <v>lonewolf - FF6</v>
      </c>
    </row>
    <row r="286" spans="1:17" hidden="1">
      <c r="A286">
        <v>446</v>
      </c>
      <c r="B286" t="s">
        <v>686</v>
      </c>
    </row>
    <row r="287" spans="1:17">
      <c r="A287">
        <v>447</v>
      </c>
      <c r="B287" t="s">
        <v>687</v>
      </c>
      <c r="C287">
        <v>46</v>
      </c>
      <c r="D287">
        <v>37</v>
      </c>
      <c r="E287">
        <v>0</v>
      </c>
      <c r="H287" t="s">
        <v>1598</v>
      </c>
      <c r="I287" t="s">
        <v>1618</v>
      </c>
      <c r="J287" t="s">
        <v>1573</v>
      </c>
      <c r="L287" t="s">
        <v>1673</v>
      </c>
      <c r="M287" t="s">
        <v>1685</v>
      </c>
      <c r="N287" t="s">
        <v>1684</v>
      </c>
      <c r="O287" t="s">
        <v>1685</v>
      </c>
      <c r="P287" t="s">
        <v>1690</v>
      </c>
      <c r="Q287" t="str">
        <f>B287&amp;" - "&amp;L287</f>
        <v>lttp - Link to the Past</v>
      </c>
    </row>
    <row r="288" spans="1:17">
      <c r="A288">
        <v>448</v>
      </c>
      <c r="B288" t="s">
        <v>688</v>
      </c>
      <c r="C288">
        <v>50</v>
      </c>
      <c r="D288">
        <v>96</v>
      </c>
      <c r="E288">
        <v>123</v>
      </c>
      <c r="F288">
        <v>148</v>
      </c>
      <c r="H288" t="s">
        <v>1597</v>
      </c>
      <c r="I288" t="s">
        <v>1632</v>
      </c>
      <c r="J288" t="s">
        <v>1633</v>
      </c>
      <c r="K288" t="s">
        <v>1624</v>
      </c>
      <c r="L288" t="s">
        <v>1677</v>
      </c>
      <c r="M288" t="s">
        <v>1681</v>
      </c>
      <c r="N288" t="s">
        <v>1681</v>
      </c>
      <c r="O288" t="s">
        <v>1685</v>
      </c>
      <c r="P288" t="s">
        <v>1662</v>
      </c>
      <c r="Q288" t="str">
        <f>B288&amp;" - "&amp;L288</f>
        <v>lucca - Chrono Trigger</v>
      </c>
    </row>
    <row r="289" spans="1:17">
      <c r="A289">
        <v>449</v>
      </c>
      <c r="B289" t="s">
        <v>689</v>
      </c>
      <c r="C289">
        <v>34</v>
      </c>
      <c r="D289">
        <v>42</v>
      </c>
      <c r="H289" t="s">
        <v>1593</v>
      </c>
      <c r="I289" t="s">
        <v>1615</v>
      </c>
      <c r="L289" t="s">
        <v>1679</v>
      </c>
      <c r="M289" t="s">
        <v>1681</v>
      </c>
      <c r="N289" t="s">
        <v>1681</v>
      </c>
      <c r="O289" t="s">
        <v>1685</v>
      </c>
      <c r="P289" t="s">
        <v>1662</v>
      </c>
      <c r="Q289" t="str">
        <f>B289&amp;" - "&amp;L289</f>
        <v>lufia - Lufia</v>
      </c>
    </row>
    <row r="290" spans="1:17">
      <c r="A290">
        <v>450</v>
      </c>
      <c r="B290" t="s">
        <v>690</v>
      </c>
      <c r="C290">
        <v>47</v>
      </c>
      <c r="D290">
        <v>0</v>
      </c>
      <c r="H290" t="s">
        <v>1634</v>
      </c>
      <c r="I290" t="s">
        <v>1573</v>
      </c>
      <c r="L290" t="s">
        <v>1678</v>
      </c>
      <c r="M290" t="s">
        <v>1681</v>
      </c>
      <c r="N290" t="s">
        <v>1681</v>
      </c>
      <c r="O290" t="s">
        <v>1685</v>
      </c>
      <c r="P290" t="s">
        <v>1662</v>
      </c>
      <c r="Q290" t="str">
        <f>B290&amp;" - "&amp;L290</f>
        <v>luigi - Mario</v>
      </c>
    </row>
    <row r="291" spans="1:17" hidden="1">
      <c r="A291">
        <v>451</v>
      </c>
      <c r="B291" t="s">
        <v>691</v>
      </c>
    </row>
    <row r="292" spans="1:17" hidden="1">
      <c r="A292">
        <v>452</v>
      </c>
      <c r="B292" t="s">
        <v>692</v>
      </c>
    </row>
    <row r="293" spans="1:17" hidden="1">
      <c r="A293">
        <v>453</v>
      </c>
      <c r="B293" t="s">
        <v>693</v>
      </c>
    </row>
    <row r="294" spans="1:17">
      <c r="A294">
        <v>454</v>
      </c>
      <c r="B294" t="s">
        <v>694</v>
      </c>
      <c r="C294">
        <v>4</v>
      </c>
      <c r="H294" t="s">
        <v>1577</v>
      </c>
      <c r="L294" t="s">
        <v>1658</v>
      </c>
      <c r="M294" t="s">
        <v>1681</v>
      </c>
      <c r="N294" t="s">
        <v>1681</v>
      </c>
      <c r="O294" t="s">
        <v>1685</v>
      </c>
      <c r="P294" t="s">
        <v>1662</v>
      </c>
      <c r="Q294" t="str">
        <f>B294&amp;" - "&amp;L294</f>
        <v>maduin - FF6</v>
      </c>
    </row>
    <row r="295" spans="1:17">
      <c r="A295">
        <v>455</v>
      </c>
      <c r="B295" t="s">
        <v>695</v>
      </c>
      <c r="C295">
        <v>2</v>
      </c>
      <c r="H295" t="s">
        <v>1575</v>
      </c>
      <c r="L295" t="s">
        <v>1658</v>
      </c>
      <c r="M295" t="s">
        <v>1685</v>
      </c>
      <c r="N295" t="s">
        <v>1684</v>
      </c>
      <c r="O295" t="s">
        <v>1685</v>
      </c>
      <c r="P295" t="s">
        <v>1689</v>
      </c>
      <c r="Q295" t="str">
        <f>B295&amp;" - "&amp;L295</f>
        <v>magicite - FF6</v>
      </c>
    </row>
    <row r="296" spans="1:17" hidden="1">
      <c r="A296">
        <v>456</v>
      </c>
      <c r="B296" t="s">
        <v>696</v>
      </c>
    </row>
    <row r="297" spans="1:17" hidden="1">
      <c r="A297">
        <v>457</v>
      </c>
      <c r="B297" t="s">
        <v>697</v>
      </c>
    </row>
    <row r="298" spans="1:17" hidden="1">
      <c r="A298">
        <v>458</v>
      </c>
      <c r="B298" t="s">
        <v>698</v>
      </c>
    </row>
    <row r="299" spans="1:17" hidden="1">
      <c r="A299">
        <v>459</v>
      </c>
      <c r="B299" t="s">
        <v>699</v>
      </c>
    </row>
    <row r="300" spans="1:17">
      <c r="A300">
        <v>460</v>
      </c>
      <c r="B300" t="s">
        <v>700</v>
      </c>
      <c r="C300">
        <v>116</v>
      </c>
      <c r="D300">
        <v>27</v>
      </c>
      <c r="E300">
        <v>3</v>
      </c>
      <c r="H300" t="s">
        <v>1635</v>
      </c>
      <c r="I300" t="s">
        <v>1621</v>
      </c>
      <c r="J300" t="s">
        <v>1576</v>
      </c>
      <c r="L300" t="s">
        <v>1669</v>
      </c>
      <c r="M300" t="s">
        <v>1685</v>
      </c>
      <c r="N300" t="s">
        <v>1684</v>
      </c>
      <c r="O300" t="s">
        <v>1685</v>
      </c>
      <c r="P300" t="s">
        <v>1662</v>
      </c>
      <c r="Q300" t="str">
        <f>B300&amp;" - "&amp;L300</f>
        <v>malboro - FF4</v>
      </c>
    </row>
    <row r="301" spans="1:17" hidden="1">
      <c r="A301">
        <v>461</v>
      </c>
      <c r="B301" t="s">
        <v>701</v>
      </c>
    </row>
    <row r="302" spans="1:17" hidden="1">
      <c r="A302">
        <v>462</v>
      </c>
      <c r="B302" t="s">
        <v>702</v>
      </c>
      <c r="C302">
        <v>5</v>
      </c>
      <c r="H302" t="s">
        <v>1578</v>
      </c>
    </row>
    <row r="303" spans="1:17">
      <c r="A303">
        <v>463</v>
      </c>
      <c r="B303" t="s">
        <v>703</v>
      </c>
      <c r="C303">
        <v>20</v>
      </c>
      <c r="H303" t="s">
        <v>1568</v>
      </c>
      <c r="L303" t="s">
        <v>1658</v>
      </c>
      <c r="M303" t="s">
        <v>1685</v>
      </c>
      <c r="N303" t="s">
        <v>1684</v>
      </c>
      <c r="O303" t="s">
        <v>1685</v>
      </c>
      <c r="P303" t="s">
        <v>1662</v>
      </c>
      <c r="Q303" t="str">
        <f>B303&amp;" - "&amp;L303</f>
        <v>man - FF6</v>
      </c>
    </row>
    <row r="304" spans="1:17" hidden="1">
      <c r="A304">
        <v>464</v>
      </c>
      <c r="B304" t="s">
        <v>704</v>
      </c>
    </row>
    <row r="305" spans="1:17" hidden="1">
      <c r="A305">
        <v>465</v>
      </c>
      <c r="B305" t="s">
        <v>705</v>
      </c>
    </row>
    <row r="306" spans="1:17" hidden="1">
      <c r="A306">
        <v>466</v>
      </c>
      <c r="B306" t="s">
        <v>706</v>
      </c>
    </row>
    <row r="307" spans="1:17">
      <c r="A307">
        <v>467</v>
      </c>
      <c r="B307" t="s">
        <v>707</v>
      </c>
      <c r="C307">
        <v>100</v>
      </c>
      <c r="D307">
        <v>20</v>
      </c>
      <c r="H307" t="s">
        <v>1636</v>
      </c>
      <c r="I307" t="s">
        <v>1568</v>
      </c>
      <c r="L307" t="s">
        <v>1678</v>
      </c>
      <c r="M307" t="s">
        <v>1681</v>
      </c>
      <c r="N307" t="s">
        <v>1681</v>
      </c>
      <c r="O307" t="s">
        <v>1685</v>
      </c>
      <c r="P307" t="s">
        <v>1662</v>
      </c>
      <c r="Q307" t="str">
        <f>B307&amp;" - "&amp;L307</f>
        <v>mario - Mario</v>
      </c>
    </row>
    <row r="308" spans="1:17" hidden="1">
      <c r="A308">
        <v>468</v>
      </c>
      <c r="B308" t="s">
        <v>708</v>
      </c>
    </row>
    <row r="309" spans="1:17">
      <c r="A309">
        <v>469</v>
      </c>
      <c r="B309" t="s">
        <v>709</v>
      </c>
      <c r="C309">
        <v>37</v>
      </c>
      <c r="D309">
        <v>53</v>
      </c>
      <c r="E309">
        <v>109</v>
      </c>
      <c r="F309">
        <v>145</v>
      </c>
      <c r="H309" t="s">
        <v>1618</v>
      </c>
      <c r="I309" t="s">
        <v>1637</v>
      </c>
      <c r="J309" t="s">
        <v>1638</v>
      </c>
      <c r="K309" t="s">
        <v>1627</v>
      </c>
      <c r="L309" t="s">
        <v>1677</v>
      </c>
      <c r="M309" t="s">
        <v>1685</v>
      </c>
      <c r="N309" t="s">
        <v>1684</v>
      </c>
      <c r="O309" t="s">
        <v>1685</v>
      </c>
      <c r="P309" t="s">
        <v>1662</v>
      </c>
      <c r="Q309" t="str">
        <f>B309&amp;" - "&amp;L309</f>
        <v>marle - Chrono Trigger</v>
      </c>
    </row>
    <row r="310" spans="1:17" hidden="1">
      <c r="A310">
        <v>470</v>
      </c>
      <c r="B310" t="s">
        <v>710</v>
      </c>
    </row>
    <row r="311" spans="1:17" hidden="1">
      <c r="A311">
        <v>471</v>
      </c>
      <c r="B311" t="s">
        <v>711</v>
      </c>
    </row>
    <row r="312" spans="1:17" hidden="1">
      <c r="A312">
        <v>472</v>
      </c>
      <c r="B312" t="s">
        <v>712</v>
      </c>
    </row>
    <row r="313" spans="1:17">
      <c r="A313">
        <v>473</v>
      </c>
      <c r="B313" t="s">
        <v>713</v>
      </c>
      <c r="C313">
        <v>75</v>
      </c>
      <c r="D313">
        <v>94</v>
      </c>
      <c r="H313" t="s">
        <v>1631</v>
      </c>
      <c r="I313" t="s">
        <v>1630</v>
      </c>
      <c r="L313" t="s">
        <v>1679</v>
      </c>
      <c r="M313" t="s">
        <v>1685</v>
      </c>
      <c r="N313" t="s">
        <v>1684</v>
      </c>
      <c r="O313" t="s">
        <v>1685</v>
      </c>
      <c r="P313" t="s">
        <v>1689</v>
      </c>
      <c r="Q313" t="str">
        <f>B313&amp;" - "&amp;L313</f>
        <v>maxim - Lufia</v>
      </c>
    </row>
    <row r="314" spans="1:17" hidden="1">
      <c r="A314">
        <v>474</v>
      </c>
      <c r="B314" t="s">
        <v>714</v>
      </c>
      <c r="C314">
        <v>61</v>
      </c>
      <c r="H314" t="s">
        <v>1639</v>
      </c>
    </row>
    <row r="315" spans="1:17" hidden="1">
      <c r="A315">
        <v>475</v>
      </c>
      <c r="B315" t="s">
        <v>715</v>
      </c>
    </row>
    <row r="316" spans="1:17" hidden="1">
      <c r="A316">
        <v>476</v>
      </c>
      <c r="B316" t="s">
        <v>716</v>
      </c>
    </row>
    <row r="317" spans="1:17" hidden="1">
      <c r="A317">
        <v>477</v>
      </c>
      <c r="B317" t="s">
        <v>717</v>
      </c>
    </row>
    <row r="318" spans="1:17" hidden="1">
      <c r="A318">
        <v>478</v>
      </c>
      <c r="B318" t="s">
        <v>718</v>
      </c>
    </row>
    <row r="319" spans="1:17" hidden="1">
      <c r="A319">
        <v>479</v>
      </c>
      <c r="B319" t="s">
        <v>719</v>
      </c>
    </row>
    <row r="320" spans="1:17">
      <c r="A320">
        <v>480</v>
      </c>
      <c r="B320" t="s">
        <v>720</v>
      </c>
      <c r="C320">
        <v>24</v>
      </c>
      <c r="H320" t="s">
        <v>1610</v>
      </c>
      <c r="L320" t="s">
        <v>1669</v>
      </c>
      <c r="M320" t="s">
        <v>1681</v>
      </c>
      <c r="N320" t="s">
        <v>1681</v>
      </c>
      <c r="O320" t="s">
        <v>1685</v>
      </c>
      <c r="P320" t="s">
        <v>1662</v>
      </c>
      <c r="Q320" t="str">
        <f>B320&amp;" - "&amp;L320</f>
        <v>mini - FF4</v>
      </c>
    </row>
    <row r="321" spans="1:17" hidden="1">
      <c r="A321">
        <v>481</v>
      </c>
      <c r="B321" t="s">
        <v>721</v>
      </c>
    </row>
    <row r="322" spans="1:17" hidden="1">
      <c r="A322">
        <v>482</v>
      </c>
      <c r="B322" t="s">
        <v>722</v>
      </c>
    </row>
    <row r="323" spans="1:17" hidden="1">
      <c r="A323">
        <v>483</v>
      </c>
      <c r="B323" t="s">
        <v>723</v>
      </c>
    </row>
    <row r="324" spans="1:17" hidden="1">
      <c r="A324">
        <v>484</v>
      </c>
      <c r="B324" t="s">
        <v>724</v>
      </c>
    </row>
    <row r="325" spans="1:17" hidden="1">
      <c r="A325">
        <v>485</v>
      </c>
      <c r="B325" t="s">
        <v>725</v>
      </c>
    </row>
    <row r="326" spans="1:17" hidden="1">
      <c r="A326">
        <v>486</v>
      </c>
      <c r="B326" t="s">
        <v>726</v>
      </c>
    </row>
    <row r="327" spans="1:17" hidden="1">
      <c r="A327">
        <v>487</v>
      </c>
      <c r="B327" t="s">
        <v>727</v>
      </c>
    </row>
    <row r="328" spans="1:17" hidden="1">
      <c r="A328">
        <v>488</v>
      </c>
      <c r="B328" t="s">
        <v>728</v>
      </c>
    </row>
    <row r="329" spans="1:17" hidden="1">
      <c r="A329">
        <v>489</v>
      </c>
      <c r="B329" t="s">
        <v>729</v>
      </c>
    </row>
    <row r="330" spans="1:17" hidden="1">
      <c r="A330">
        <v>490</v>
      </c>
      <c r="B330" t="s">
        <v>730</v>
      </c>
    </row>
    <row r="331" spans="1:17" hidden="1">
      <c r="A331">
        <v>491</v>
      </c>
      <c r="B331" t="s">
        <v>731</v>
      </c>
    </row>
    <row r="332" spans="1:17" hidden="1">
      <c r="A332">
        <v>492</v>
      </c>
      <c r="B332" t="s">
        <v>732</v>
      </c>
    </row>
    <row r="333" spans="1:17" hidden="1">
      <c r="A333">
        <v>493</v>
      </c>
      <c r="B333" t="s">
        <v>733</v>
      </c>
    </row>
    <row r="334" spans="1:17" hidden="1">
      <c r="A334">
        <v>494</v>
      </c>
      <c r="B334" t="s">
        <v>734</v>
      </c>
    </row>
    <row r="335" spans="1:17">
      <c r="A335">
        <v>495</v>
      </c>
      <c r="B335" t="s">
        <v>735</v>
      </c>
      <c r="C335">
        <v>56</v>
      </c>
      <c r="D335">
        <v>113</v>
      </c>
      <c r="H335" t="s">
        <v>1640</v>
      </c>
      <c r="I335" t="s">
        <v>1641</v>
      </c>
      <c r="L335" t="s">
        <v>1658</v>
      </c>
      <c r="M335" t="s">
        <v>1681</v>
      </c>
      <c r="N335" t="s">
        <v>1681</v>
      </c>
      <c r="O335" t="s">
        <v>1685</v>
      </c>
      <c r="P335" t="s">
        <v>1662</v>
      </c>
      <c r="Q335" t="str">
        <f>B335&amp;" - "&amp;L335</f>
        <v>narsheguard - FF6</v>
      </c>
    </row>
    <row r="336" spans="1:17" hidden="1">
      <c r="A336">
        <v>496</v>
      </c>
      <c r="B336" t="s">
        <v>736</v>
      </c>
    </row>
    <row r="337" spans="1:10" hidden="1">
      <c r="A337">
        <v>497</v>
      </c>
      <c r="B337" t="s">
        <v>737</v>
      </c>
    </row>
    <row r="338" spans="1:10" hidden="1">
      <c r="A338">
        <v>498</v>
      </c>
      <c r="B338" t="s">
        <v>738</v>
      </c>
    </row>
    <row r="339" spans="1:10" hidden="1">
      <c r="A339">
        <v>499</v>
      </c>
      <c r="B339" t="s">
        <v>739</v>
      </c>
    </row>
    <row r="340" spans="1:10" hidden="1">
      <c r="A340">
        <v>500</v>
      </c>
      <c r="B340" t="s">
        <v>740</v>
      </c>
      <c r="C340">
        <v>100</v>
      </c>
      <c r="D340">
        <v>72</v>
      </c>
      <c r="E340">
        <v>125</v>
      </c>
      <c r="H340" t="s">
        <v>1636</v>
      </c>
      <c r="I340" t="s">
        <v>1611</v>
      </c>
      <c r="J340" t="s">
        <v>1642</v>
      </c>
    </row>
    <row r="341" spans="1:10" hidden="1">
      <c r="A341">
        <v>501</v>
      </c>
      <c r="B341" t="s">
        <v>741</v>
      </c>
      <c r="C341">
        <v>85</v>
      </c>
      <c r="H341" t="s">
        <v>1581</v>
      </c>
    </row>
    <row r="342" spans="1:10" hidden="1">
      <c r="A342">
        <v>502</v>
      </c>
      <c r="B342" t="s">
        <v>742</v>
      </c>
      <c r="C342">
        <v>85</v>
      </c>
      <c r="H342" t="s">
        <v>1581</v>
      </c>
    </row>
    <row r="343" spans="1:10" hidden="1">
      <c r="A343">
        <v>503</v>
      </c>
      <c r="B343" t="s">
        <v>743</v>
      </c>
    </row>
    <row r="344" spans="1:10" hidden="1">
      <c r="A344">
        <v>504</v>
      </c>
      <c r="B344" t="s">
        <v>744</v>
      </c>
    </row>
    <row r="345" spans="1:10" hidden="1">
      <c r="A345">
        <v>505</v>
      </c>
      <c r="B345" t="s">
        <v>745</v>
      </c>
    </row>
    <row r="346" spans="1:10" hidden="1">
      <c r="A346">
        <v>506</v>
      </c>
      <c r="B346" t="s">
        <v>746</v>
      </c>
    </row>
    <row r="347" spans="1:10" hidden="1">
      <c r="A347">
        <v>507</v>
      </c>
      <c r="B347" t="s">
        <v>747</v>
      </c>
    </row>
    <row r="348" spans="1:10" hidden="1">
      <c r="A348">
        <v>508</v>
      </c>
      <c r="B348" t="s">
        <v>748</v>
      </c>
    </row>
    <row r="349" spans="1:10" hidden="1">
      <c r="A349">
        <v>509</v>
      </c>
      <c r="B349" t="s">
        <v>749</v>
      </c>
    </row>
    <row r="350" spans="1:10" hidden="1">
      <c r="A350">
        <v>510</v>
      </c>
      <c r="B350" t="s">
        <v>750</v>
      </c>
    </row>
    <row r="351" spans="1:10" hidden="1">
      <c r="A351">
        <v>511</v>
      </c>
      <c r="B351" t="s">
        <v>751</v>
      </c>
    </row>
    <row r="352" spans="1:10" hidden="1">
      <c r="A352">
        <v>512</v>
      </c>
      <c r="B352" t="s">
        <v>752</v>
      </c>
    </row>
    <row r="353" spans="1:2" hidden="1">
      <c r="A353">
        <v>513</v>
      </c>
      <c r="B353" t="s">
        <v>753</v>
      </c>
    </row>
    <row r="354" spans="1:2" hidden="1">
      <c r="A354">
        <v>514</v>
      </c>
      <c r="B354" t="s">
        <v>754</v>
      </c>
    </row>
    <row r="355" spans="1:2" hidden="1">
      <c r="A355">
        <v>515</v>
      </c>
      <c r="B355" t="s">
        <v>755</v>
      </c>
    </row>
    <row r="356" spans="1:2" hidden="1">
      <c r="A356">
        <v>516</v>
      </c>
      <c r="B356" t="s">
        <v>756</v>
      </c>
    </row>
    <row r="357" spans="1:2" hidden="1">
      <c r="A357">
        <v>517</v>
      </c>
      <c r="B357" t="s">
        <v>757</v>
      </c>
    </row>
    <row r="358" spans="1:2" hidden="1">
      <c r="A358">
        <v>518</v>
      </c>
      <c r="B358" t="s">
        <v>758</v>
      </c>
    </row>
    <row r="359" spans="1:2" hidden="1">
      <c r="A359">
        <v>519</v>
      </c>
      <c r="B359" t="s">
        <v>759</v>
      </c>
    </row>
    <row r="360" spans="1:2" hidden="1">
      <c r="A360">
        <v>520</v>
      </c>
      <c r="B360" t="s">
        <v>760</v>
      </c>
    </row>
    <row r="361" spans="1:2" hidden="1">
      <c r="A361">
        <v>521</v>
      </c>
      <c r="B361" t="s">
        <v>761</v>
      </c>
    </row>
    <row r="362" spans="1:2" hidden="1">
      <c r="A362">
        <v>522</v>
      </c>
      <c r="B362" t="s">
        <v>762</v>
      </c>
    </row>
    <row r="363" spans="1:2" hidden="1">
      <c r="A363">
        <v>523</v>
      </c>
      <c r="B363" t="s">
        <v>763</v>
      </c>
    </row>
    <row r="364" spans="1:2" hidden="1">
      <c r="A364">
        <v>524</v>
      </c>
      <c r="B364" t="s">
        <v>764</v>
      </c>
    </row>
    <row r="365" spans="1:2" hidden="1">
      <c r="A365">
        <v>525</v>
      </c>
      <c r="B365" t="s">
        <v>765</v>
      </c>
    </row>
    <row r="366" spans="1:2" hidden="1">
      <c r="A366">
        <v>526</v>
      </c>
      <c r="B366" t="s">
        <v>766</v>
      </c>
    </row>
    <row r="367" spans="1:2" hidden="1">
      <c r="A367">
        <v>527</v>
      </c>
      <c r="B367" t="s">
        <v>767</v>
      </c>
    </row>
    <row r="368" spans="1:2" hidden="1">
      <c r="A368">
        <v>528</v>
      </c>
      <c r="B368" t="s">
        <v>768</v>
      </c>
    </row>
    <row r="369" spans="1:17" hidden="1">
      <c r="A369">
        <v>529</v>
      </c>
      <c r="B369" t="s">
        <v>769</v>
      </c>
    </row>
    <row r="370" spans="1:17" hidden="1">
      <c r="A370">
        <v>530</v>
      </c>
      <c r="B370" t="s">
        <v>770</v>
      </c>
    </row>
    <row r="371" spans="1:17" hidden="1">
      <c r="A371">
        <v>531</v>
      </c>
      <c r="B371" t="s">
        <v>771</v>
      </c>
    </row>
    <row r="372" spans="1:17">
      <c r="A372">
        <v>532</v>
      </c>
      <c r="B372" t="s">
        <v>772</v>
      </c>
      <c r="C372">
        <v>4</v>
      </c>
      <c r="D372">
        <v>108</v>
      </c>
      <c r="H372" t="s">
        <v>1577</v>
      </c>
      <c r="I372" t="s">
        <v>1643</v>
      </c>
      <c r="L372" t="s">
        <v>1658</v>
      </c>
      <c r="M372" t="s">
        <v>1685</v>
      </c>
      <c r="N372" t="s">
        <v>1684</v>
      </c>
      <c r="O372" t="s">
        <v>1685</v>
      </c>
      <c r="P372" t="s">
        <v>1662</v>
      </c>
      <c r="Q372" t="str">
        <f>B372&amp;" - "&amp;L372</f>
        <v>oldman - FF6</v>
      </c>
    </row>
    <row r="373" spans="1:17" hidden="1">
      <c r="A373">
        <v>533</v>
      </c>
      <c r="B373" t="s">
        <v>773</v>
      </c>
    </row>
    <row r="374" spans="1:17" hidden="1">
      <c r="A374">
        <v>534</v>
      </c>
      <c r="B374" t="s">
        <v>774</v>
      </c>
    </row>
    <row r="375" spans="1:17" hidden="1">
      <c r="A375">
        <v>535</v>
      </c>
      <c r="B375" t="s">
        <v>775</v>
      </c>
    </row>
    <row r="376" spans="1:17" hidden="1">
      <c r="A376">
        <v>536</v>
      </c>
      <c r="B376" t="s">
        <v>776</v>
      </c>
    </row>
    <row r="377" spans="1:17" hidden="1">
      <c r="A377">
        <v>537</v>
      </c>
      <c r="B377" t="s">
        <v>777</v>
      </c>
    </row>
    <row r="378" spans="1:17" hidden="1">
      <c r="A378">
        <v>538</v>
      </c>
      <c r="B378" t="s">
        <v>778</v>
      </c>
    </row>
    <row r="379" spans="1:17" hidden="1">
      <c r="A379">
        <v>539</v>
      </c>
      <c r="B379" t="s">
        <v>779</v>
      </c>
    </row>
    <row r="380" spans="1:17" hidden="1">
      <c r="A380">
        <v>540</v>
      </c>
      <c r="B380" t="s">
        <v>780</v>
      </c>
    </row>
    <row r="381" spans="1:17" hidden="1">
      <c r="A381">
        <v>541</v>
      </c>
      <c r="B381" t="s">
        <v>781</v>
      </c>
      <c r="C381">
        <v>1</v>
      </c>
      <c r="H381" t="s">
        <v>1574</v>
      </c>
    </row>
    <row r="382" spans="1:17" hidden="1">
      <c r="A382">
        <v>542</v>
      </c>
      <c r="B382" t="s">
        <v>782</v>
      </c>
    </row>
    <row r="383" spans="1:17" hidden="1">
      <c r="A383">
        <v>543</v>
      </c>
      <c r="B383" t="s">
        <v>783</v>
      </c>
    </row>
    <row r="384" spans="1:17">
      <c r="A384">
        <v>544</v>
      </c>
      <c r="B384" t="s">
        <v>784</v>
      </c>
      <c r="C384">
        <v>72</v>
      </c>
      <c r="H384" t="s">
        <v>1611</v>
      </c>
      <c r="L384" t="s">
        <v>1678</v>
      </c>
      <c r="M384" t="s">
        <v>1685</v>
      </c>
      <c r="N384" t="s">
        <v>1684</v>
      </c>
      <c r="O384" t="s">
        <v>1685</v>
      </c>
      <c r="P384" t="s">
        <v>1691</v>
      </c>
      <c r="Q384" t="str">
        <f>B384&amp;" - "&amp;L384</f>
        <v>peach - Mario</v>
      </c>
    </row>
    <row r="385" spans="1:17" hidden="1">
      <c r="A385">
        <v>545</v>
      </c>
      <c r="B385" t="s">
        <v>785</v>
      </c>
    </row>
    <row r="386" spans="1:17" hidden="1">
      <c r="A386">
        <v>546</v>
      </c>
      <c r="B386" t="s">
        <v>786</v>
      </c>
    </row>
    <row r="387" spans="1:17" hidden="1">
      <c r="A387">
        <v>547</v>
      </c>
      <c r="B387" t="s">
        <v>787</v>
      </c>
    </row>
    <row r="388" spans="1:17">
      <c r="A388">
        <v>548</v>
      </c>
      <c r="B388" t="s">
        <v>788</v>
      </c>
      <c r="C388">
        <v>0</v>
      </c>
      <c r="H388" t="s">
        <v>1573</v>
      </c>
      <c r="L388" t="s">
        <v>1669</v>
      </c>
      <c r="M388" t="s">
        <v>1685</v>
      </c>
      <c r="N388" t="s">
        <v>1684</v>
      </c>
      <c r="O388" t="s">
        <v>1685</v>
      </c>
      <c r="P388" t="s">
        <v>1662</v>
      </c>
      <c r="Q388" t="str">
        <f>B388&amp;" - "&amp;L388</f>
        <v>pig - FF4</v>
      </c>
    </row>
    <row r="389" spans="1:17" hidden="1">
      <c r="A389">
        <v>549</v>
      </c>
      <c r="B389" t="s">
        <v>789</v>
      </c>
      <c r="C389">
        <v>21</v>
      </c>
      <c r="H389" t="s">
        <v>1609</v>
      </c>
    </row>
    <row r="390" spans="1:17">
      <c r="A390">
        <v>550</v>
      </c>
      <c r="B390" t="s">
        <v>790</v>
      </c>
      <c r="C390">
        <v>102</v>
      </c>
      <c r="D390">
        <v>29</v>
      </c>
      <c r="E390">
        <v>71</v>
      </c>
      <c r="H390" t="s">
        <v>1590</v>
      </c>
      <c r="I390" t="s">
        <v>1601</v>
      </c>
      <c r="J390" t="s">
        <v>1644</v>
      </c>
      <c r="L390" t="s">
        <v>1678</v>
      </c>
      <c r="M390" t="s">
        <v>1692</v>
      </c>
      <c r="N390" t="s">
        <v>1692</v>
      </c>
      <c r="O390" t="s">
        <v>1685</v>
      </c>
      <c r="P390" t="s">
        <v>1662</v>
      </c>
      <c r="Q390" t="str">
        <f>B390&amp;" - "&amp;L390</f>
        <v>piranhaplant - Mario</v>
      </c>
    </row>
    <row r="391" spans="1:17" hidden="1">
      <c r="A391">
        <v>551</v>
      </c>
      <c r="B391" t="s">
        <v>791</v>
      </c>
      <c r="C391">
        <v>2</v>
      </c>
      <c r="D391">
        <v>33</v>
      </c>
      <c r="E391">
        <v>73</v>
      </c>
      <c r="F391">
        <v>102</v>
      </c>
      <c r="H391" t="s">
        <v>1575</v>
      </c>
      <c r="I391" t="s">
        <v>1587</v>
      </c>
      <c r="J391" t="s">
        <v>1645</v>
      </c>
      <c r="K391" t="s">
        <v>1590</v>
      </c>
    </row>
    <row r="392" spans="1:17" hidden="1">
      <c r="A392">
        <v>552</v>
      </c>
      <c r="B392" t="s">
        <v>792</v>
      </c>
    </row>
    <row r="393" spans="1:17" hidden="1">
      <c r="A393">
        <v>553</v>
      </c>
      <c r="B393" t="s">
        <v>793</v>
      </c>
    </row>
    <row r="394" spans="1:17" hidden="1">
      <c r="A394">
        <v>554</v>
      </c>
      <c r="B394" t="s">
        <v>794</v>
      </c>
    </row>
    <row r="395" spans="1:17" hidden="1">
      <c r="A395">
        <v>555</v>
      </c>
      <c r="B395" t="s">
        <v>795</v>
      </c>
    </row>
    <row r="396" spans="1:17" hidden="1">
      <c r="A396">
        <v>556</v>
      </c>
      <c r="B396" t="s">
        <v>796</v>
      </c>
    </row>
    <row r="397" spans="1:17" hidden="1">
      <c r="A397">
        <v>557</v>
      </c>
      <c r="B397" t="s">
        <v>797</v>
      </c>
    </row>
    <row r="398" spans="1:17" hidden="1">
      <c r="A398">
        <v>558</v>
      </c>
      <c r="B398" t="s">
        <v>798</v>
      </c>
    </row>
    <row r="399" spans="1:17" hidden="1">
      <c r="A399">
        <v>559</v>
      </c>
      <c r="B399" t="s">
        <v>799</v>
      </c>
    </row>
    <row r="400" spans="1:17" hidden="1">
      <c r="A400">
        <v>560</v>
      </c>
      <c r="B400" t="s">
        <v>800</v>
      </c>
    </row>
    <row r="401" spans="1:17" hidden="1">
      <c r="A401">
        <v>561</v>
      </c>
      <c r="B401" t="s">
        <v>801</v>
      </c>
      <c r="C401">
        <v>52</v>
      </c>
      <c r="D401">
        <v>81</v>
      </c>
      <c r="E401">
        <v>84</v>
      </c>
      <c r="H401" t="s">
        <v>1646</v>
      </c>
      <c r="I401" t="s">
        <v>1647</v>
      </c>
      <c r="J401" t="s">
        <v>1648</v>
      </c>
    </row>
    <row r="402" spans="1:17" hidden="1">
      <c r="A402">
        <v>562</v>
      </c>
      <c r="B402" t="s">
        <v>802</v>
      </c>
    </row>
    <row r="403" spans="1:17" hidden="1">
      <c r="A403">
        <v>563</v>
      </c>
      <c r="B403" t="s">
        <v>803</v>
      </c>
    </row>
    <row r="404" spans="1:17" hidden="1">
      <c r="A404">
        <v>564</v>
      </c>
      <c r="B404" t="s">
        <v>804</v>
      </c>
    </row>
    <row r="405" spans="1:17" hidden="1">
      <c r="A405">
        <v>565</v>
      </c>
      <c r="B405" t="s">
        <v>805</v>
      </c>
    </row>
    <row r="406" spans="1:17" hidden="1">
      <c r="A406">
        <v>566</v>
      </c>
      <c r="B406" t="s">
        <v>806</v>
      </c>
    </row>
    <row r="407" spans="1:17" hidden="1">
      <c r="A407">
        <v>567</v>
      </c>
      <c r="B407" t="s">
        <v>807</v>
      </c>
    </row>
    <row r="408" spans="1:17" hidden="1">
      <c r="A408">
        <v>568</v>
      </c>
      <c r="B408" t="s">
        <v>808</v>
      </c>
    </row>
    <row r="409" spans="1:17" hidden="1">
      <c r="A409">
        <v>569</v>
      </c>
      <c r="B409" t="s">
        <v>809</v>
      </c>
    </row>
    <row r="410" spans="1:17" hidden="1">
      <c r="A410">
        <v>570</v>
      </c>
      <c r="B410" t="s">
        <v>810</v>
      </c>
    </row>
    <row r="411" spans="1:17" hidden="1">
      <c r="A411">
        <v>571</v>
      </c>
      <c r="B411" t="s">
        <v>811</v>
      </c>
    </row>
    <row r="412" spans="1:17" hidden="1">
      <c r="A412">
        <v>572</v>
      </c>
      <c r="B412" t="s">
        <v>812</v>
      </c>
    </row>
    <row r="413" spans="1:17">
      <c r="A413">
        <v>573</v>
      </c>
      <c r="B413" t="s">
        <v>813</v>
      </c>
      <c r="C413">
        <v>28</v>
      </c>
      <c r="D413">
        <v>85</v>
      </c>
      <c r="H413" t="s">
        <v>1580</v>
      </c>
      <c r="I413" t="s">
        <v>1581</v>
      </c>
      <c r="L413" t="s">
        <v>1659</v>
      </c>
      <c r="M413" t="s">
        <v>1685</v>
      </c>
      <c r="N413" t="s">
        <v>1684</v>
      </c>
      <c r="O413" t="s">
        <v>1685</v>
      </c>
      <c r="P413" t="s">
        <v>1693</v>
      </c>
      <c r="Q413" t="str">
        <f>B413&amp;" - "&amp;L413</f>
        <v>redxiii - FF7</v>
      </c>
    </row>
    <row r="414" spans="1:17">
      <c r="A414">
        <v>574</v>
      </c>
      <c r="B414" t="s">
        <v>814</v>
      </c>
      <c r="C414">
        <v>28</v>
      </c>
      <c r="D414">
        <v>85</v>
      </c>
      <c r="H414" t="s">
        <v>1580</v>
      </c>
      <c r="I414" t="s">
        <v>1581</v>
      </c>
      <c r="L414" t="s">
        <v>1659</v>
      </c>
      <c r="M414" t="s">
        <v>1685</v>
      </c>
      <c r="N414" t="s">
        <v>1684</v>
      </c>
      <c r="O414" t="s">
        <v>1685</v>
      </c>
      <c r="P414" t="s">
        <v>1691</v>
      </c>
      <c r="Q414" t="str">
        <f>B414&amp;" - "&amp;L414</f>
        <v>redxiii4s - FF7</v>
      </c>
    </row>
    <row r="415" spans="1:17" hidden="1">
      <c r="A415">
        <v>575</v>
      </c>
      <c r="B415" t="s">
        <v>815</v>
      </c>
    </row>
    <row r="416" spans="1:17" hidden="1">
      <c r="A416">
        <v>576</v>
      </c>
      <c r="B416" t="s">
        <v>816</v>
      </c>
    </row>
    <row r="417" spans="1:17">
      <c r="A417">
        <v>577</v>
      </c>
      <c r="B417" t="s">
        <v>817</v>
      </c>
      <c r="C417">
        <v>3</v>
      </c>
      <c r="H417" t="s">
        <v>1576</v>
      </c>
      <c r="L417" t="s">
        <v>1658</v>
      </c>
      <c r="M417" t="s">
        <v>1681</v>
      </c>
      <c r="N417" t="s">
        <v>1681</v>
      </c>
      <c r="O417" t="s">
        <v>1684</v>
      </c>
      <c r="P417" t="s">
        <v>1662</v>
      </c>
      <c r="Q417" t="str">
        <f>B417&amp;" - "&amp;L417</f>
        <v>relm-adult - FF6</v>
      </c>
    </row>
    <row r="418" spans="1:17" hidden="1">
      <c r="A418">
        <v>578</v>
      </c>
      <c r="B418" t="s">
        <v>818</v>
      </c>
    </row>
    <row r="419" spans="1:17" hidden="1">
      <c r="A419">
        <v>579</v>
      </c>
      <c r="B419" t="s">
        <v>819</v>
      </c>
    </row>
    <row r="420" spans="1:17" hidden="1">
      <c r="A420">
        <v>580</v>
      </c>
      <c r="B420" t="s">
        <v>820</v>
      </c>
    </row>
    <row r="421" spans="1:17" hidden="1">
      <c r="A421">
        <v>581</v>
      </c>
      <c r="B421" t="s">
        <v>821</v>
      </c>
    </row>
    <row r="422" spans="1:17" hidden="1">
      <c r="A422">
        <v>582</v>
      </c>
      <c r="B422" t="s">
        <v>822</v>
      </c>
    </row>
    <row r="423" spans="1:17" hidden="1">
      <c r="A423">
        <v>583</v>
      </c>
      <c r="B423" t="s">
        <v>823</v>
      </c>
    </row>
    <row r="424" spans="1:17" hidden="1">
      <c r="A424">
        <v>584</v>
      </c>
      <c r="B424" t="s">
        <v>824</v>
      </c>
    </row>
    <row r="425" spans="1:17">
      <c r="A425">
        <v>585</v>
      </c>
      <c r="B425" t="s">
        <v>825</v>
      </c>
      <c r="C425">
        <v>1</v>
      </c>
      <c r="H425" t="s">
        <v>1574</v>
      </c>
      <c r="L425" t="s">
        <v>1658</v>
      </c>
      <c r="M425" t="s">
        <v>1685</v>
      </c>
      <c r="N425" t="s">
        <v>1684</v>
      </c>
      <c r="O425" t="s">
        <v>1684</v>
      </c>
      <c r="P425" t="s">
        <v>1691</v>
      </c>
      <c r="Q425" t="str">
        <f>B425&amp;" - "&amp;L425</f>
        <v>returner-warrior - FF6</v>
      </c>
    </row>
    <row r="426" spans="1:17">
      <c r="A426">
        <v>586</v>
      </c>
      <c r="B426" t="s">
        <v>826</v>
      </c>
      <c r="C426">
        <v>63</v>
      </c>
      <c r="D426">
        <v>1</v>
      </c>
      <c r="E426">
        <v>35</v>
      </c>
      <c r="F426">
        <v>41</v>
      </c>
      <c r="H426" t="s">
        <v>1649</v>
      </c>
      <c r="I426" t="s">
        <v>1574</v>
      </c>
      <c r="J426" t="s">
        <v>1569</v>
      </c>
      <c r="K426" t="s">
        <v>1583</v>
      </c>
      <c r="L426" t="s">
        <v>1658</v>
      </c>
      <c r="M426" t="s">
        <v>1681</v>
      </c>
      <c r="N426" t="s">
        <v>1681</v>
      </c>
      <c r="O426" t="s">
        <v>1685</v>
      </c>
      <c r="P426" t="s">
        <v>1662</v>
      </c>
      <c r="Q426" t="str">
        <f>B426&amp;" - "&amp;L426</f>
        <v>returner - FF6</v>
      </c>
    </row>
    <row r="427" spans="1:17" hidden="1">
      <c r="A427">
        <v>587</v>
      </c>
      <c r="B427" t="s">
        <v>827</v>
      </c>
    </row>
    <row r="428" spans="1:17" hidden="1">
      <c r="A428">
        <v>588</v>
      </c>
      <c r="B428" t="s">
        <v>828</v>
      </c>
    </row>
    <row r="429" spans="1:17" hidden="1">
      <c r="A429">
        <v>589</v>
      </c>
      <c r="B429" t="s">
        <v>829</v>
      </c>
    </row>
    <row r="430" spans="1:17" hidden="1">
      <c r="A430">
        <v>590</v>
      </c>
      <c r="B430" t="s">
        <v>830</v>
      </c>
    </row>
    <row r="431" spans="1:17" hidden="1">
      <c r="A431">
        <v>591</v>
      </c>
      <c r="B431" t="s">
        <v>831</v>
      </c>
    </row>
    <row r="432" spans="1:17" hidden="1">
      <c r="A432">
        <v>592</v>
      </c>
      <c r="B432" t="s">
        <v>832</v>
      </c>
      <c r="C432">
        <v>4</v>
      </c>
      <c r="D432">
        <v>76</v>
      </c>
      <c r="I432" t="s">
        <v>1650</v>
      </c>
      <c r="L432" t="s">
        <v>1674</v>
      </c>
      <c r="Q432" t="str">
        <f>B432&amp;" - "&amp;L432</f>
        <v>rinoa-dress - FF8</v>
      </c>
    </row>
    <row r="433" spans="1:17">
      <c r="A433">
        <v>593</v>
      </c>
      <c r="B433" t="s">
        <v>833</v>
      </c>
      <c r="C433">
        <v>4</v>
      </c>
      <c r="D433">
        <v>76</v>
      </c>
      <c r="H433" t="s">
        <v>1577</v>
      </c>
      <c r="I433" t="s">
        <v>1650</v>
      </c>
      <c r="L433" t="s">
        <v>1674</v>
      </c>
      <c r="M433" t="s">
        <v>1685</v>
      </c>
      <c r="N433" t="s">
        <v>1684</v>
      </c>
      <c r="O433" t="s">
        <v>1685</v>
      </c>
      <c r="P433" t="s">
        <v>1687</v>
      </c>
      <c r="Q433" t="str">
        <f>B433&amp;" - "&amp;L433</f>
        <v>rinoa - FF8</v>
      </c>
    </row>
    <row r="434" spans="1:17" hidden="1">
      <c r="A434">
        <v>594</v>
      </c>
      <c r="B434" t="s">
        <v>834</v>
      </c>
      <c r="G434">
        <v>95</v>
      </c>
    </row>
    <row r="435" spans="1:17" hidden="1">
      <c r="A435">
        <v>595</v>
      </c>
      <c r="B435" t="s">
        <v>835</v>
      </c>
    </row>
    <row r="436" spans="1:17" hidden="1">
      <c r="A436">
        <v>596</v>
      </c>
      <c r="B436" t="s">
        <v>836</v>
      </c>
      <c r="G436">
        <v>96</v>
      </c>
    </row>
    <row r="437" spans="1:17">
      <c r="A437">
        <v>597</v>
      </c>
      <c r="B437" t="s">
        <v>837</v>
      </c>
      <c r="C437">
        <v>85</v>
      </c>
      <c r="D437">
        <v>74</v>
      </c>
      <c r="H437" t="s">
        <v>1581</v>
      </c>
      <c r="I437" t="s">
        <v>1591</v>
      </c>
      <c r="L437" t="s">
        <v>1669</v>
      </c>
      <c r="Q437" t="str">
        <f>B437&amp;" - "&amp;L437</f>
        <v>rubicante - FF4</v>
      </c>
    </row>
    <row r="438" spans="1:17">
      <c r="A438">
        <v>598</v>
      </c>
      <c r="B438" t="s">
        <v>838</v>
      </c>
      <c r="C438">
        <v>4</v>
      </c>
      <c r="D438">
        <v>34</v>
      </c>
      <c r="H438" t="s">
        <v>1577</v>
      </c>
      <c r="I438" t="s">
        <v>1593</v>
      </c>
      <c r="L438" t="s">
        <v>1659</v>
      </c>
      <c r="Q438" t="str">
        <f>B438&amp;" - "&amp;L438</f>
        <v>rude - FF7</v>
      </c>
    </row>
    <row r="439" spans="1:17">
      <c r="A439">
        <v>599</v>
      </c>
      <c r="B439" t="s">
        <v>839</v>
      </c>
      <c r="C439">
        <v>37</v>
      </c>
      <c r="D439">
        <v>44</v>
      </c>
      <c r="E439">
        <v>123</v>
      </c>
      <c r="F439">
        <v>145</v>
      </c>
      <c r="H439" t="s">
        <v>1618</v>
      </c>
      <c r="I439" t="s">
        <v>1629</v>
      </c>
      <c r="J439" t="s">
        <v>1633</v>
      </c>
      <c r="K439" t="s">
        <v>1627</v>
      </c>
      <c r="L439" t="s">
        <v>1659</v>
      </c>
      <c r="Q439" t="str">
        <f>B439&amp;" - "&amp;L439</f>
        <v>rufus - FF7</v>
      </c>
    </row>
    <row r="440" spans="1:17" hidden="1">
      <c r="A440">
        <v>600</v>
      </c>
      <c r="B440" t="s">
        <v>840</v>
      </c>
    </row>
    <row r="441" spans="1:17" hidden="1">
      <c r="A441">
        <v>601</v>
      </c>
      <c r="B441" t="s">
        <v>841</v>
      </c>
    </row>
    <row r="442" spans="1:17" hidden="1">
      <c r="A442">
        <v>602</v>
      </c>
      <c r="B442" t="s">
        <v>842</v>
      </c>
    </row>
    <row r="443" spans="1:17" hidden="1">
      <c r="A443">
        <v>603</v>
      </c>
      <c r="B443" t="s">
        <v>843</v>
      </c>
      <c r="C443">
        <v>34</v>
      </c>
      <c r="D443">
        <v>42</v>
      </c>
      <c r="E443">
        <v>103</v>
      </c>
      <c r="H443" t="s">
        <v>1593</v>
      </c>
      <c r="I443" t="s">
        <v>1615</v>
      </c>
      <c r="J443" t="s">
        <v>1605</v>
      </c>
    </row>
    <row r="444" spans="1:17" hidden="1">
      <c r="A444">
        <v>604</v>
      </c>
      <c r="B444" t="s">
        <v>844</v>
      </c>
    </row>
    <row r="445" spans="1:17" hidden="1">
      <c r="A445">
        <v>605</v>
      </c>
      <c r="B445" t="s">
        <v>845</v>
      </c>
    </row>
    <row r="446" spans="1:17" hidden="1">
      <c r="A446">
        <v>606</v>
      </c>
      <c r="B446" t="s">
        <v>846</v>
      </c>
    </row>
    <row r="447" spans="1:17" hidden="1">
      <c r="A447">
        <v>607</v>
      </c>
      <c r="B447" t="s">
        <v>847</v>
      </c>
    </row>
    <row r="448" spans="1:17" hidden="1">
      <c r="A448">
        <v>608</v>
      </c>
      <c r="B448" t="s">
        <v>848</v>
      </c>
    </row>
    <row r="449" spans="1:17" hidden="1">
      <c r="A449">
        <v>609</v>
      </c>
      <c r="B449" t="s">
        <v>849</v>
      </c>
    </row>
    <row r="450" spans="1:17" hidden="1">
      <c r="A450">
        <v>610</v>
      </c>
      <c r="B450" t="s">
        <v>850</v>
      </c>
    </row>
    <row r="451" spans="1:17" hidden="1">
      <c r="A451">
        <v>611</v>
      </c>
      <c r="B451" t="s">
        <v>851</v>
      </c>
    </row>
    <row r="452" spans="1:17" hidden="1">
      <c r="A452">
        <v>612</v>
      </c>
      <c r="B452" t="s">
        <v>852</v>
      </c>
    </row>
    <row r="453" spans="1:17" hidden="1">
      <c r="A453">
        <v>613</v>
      </c>
      <c r="B453" t="s">
        <v>853</v>
      </c>
      <c r="C453">
        <v>36</v>
      </c>
      <c r="D453">
        <v>35</v>
      </c>
      <c r="E453">
        <v>61</v>
      </c>
      <c r="F453">
        <v>128</v>
      </c>
      <c r="H453" t="s">
        <v>1600</v>
      </c>
      <c r="I453" t="s">
        <v>1569</v>
      </c>
      <c r="J453" t="s">
        <v>1639</v>
      </c>
      <c r="K453" t="s">
        <v>1589</v>
      </c>
    </row>
    <row r="454" spans="1:17" hidden="1">
      <c r="A454">
        <v>614</v>
      </c>
      <c r="B454" t="s">
        <v>854</v>
      </c>
      <c r="C454">
        <v>49</v>
      </c>
      <c r="H454" t="s">
        <v>1651</v>
      </c>
    </row>
    <row r="455" spans="1:17" hidden="1">
      <c r="A455">
        <v>615</v>
      </c>
      <c r="B455" t="s">
        <v>855</v>
      </c>
    </row>
    <row r="456" spans="1:17" hidden="1">
      <c r="A456">
        <v>616</v>
      </c>
      <c r="B456" t="s">
        <v>856</v>
      </c>
    </row>
    <row r="457" spans="1:17" hidden="1">
      <c r="A457">
        <v>617</v>
      </c>
      <c r="B457" t="s">
        <v>857</v>
      </c>
    </row>
    <row r="458" spans="1:17" hidden="1">
      <c r="A458">
        <v>618</v>
      </c>
      <c r="B458" t="s">
        <v>858</v>
      </c>
    </row>
    <row r="459" spans="1:17" hidden="1">
      <c r="A459">
        <v>619</v>
      </c>
      <c r="B459" t="s">
        <v>859</v>
      </c>
    </row>
    <row r="460" spans="1:17" hidden="1">
      <c r="A460">
        <v>620</v>
      </c>
      <c r="B460" t="s">
        <v>860</v>
      </c>
    </row>
    <row r="461" spans="1:17" hidden="1">
      <c r="A461">
        <v>621</v>
      </c>
      <c r="B461" t="s">
        <v>861</v>
      </c>
    </row>
    <row r="462" spans="1:17" hidden="1">
      <c r="A462">
        <v>622</v>
      </c>
      <c r="B462" t="s">
        <v>862</v>
      </c>
    </row>
    <row r="463" spans="1:17">
      <c r="A463">
        <v>623</v>
      </c>
      <c r="B463" t="s">
        <v>863</v>
      </c>
      <c r="C463">
        <v>1</v>
      </c>
      <c r="D463">
        <v>86</v>
      </c>
      <c r="H463" t="s">
        <v>1574</v>
      </c>
      <c r="I463" t="s">
        <v>1652</v>
      </c>
      <c r="L463" t="s">
        <v>1658</v>
      </c>
      <c r="Q463" t="str">
        <f>B463&amp;" - "&amp;L463</f>
        <v>scholar - FF6</v>
      </c>
    </row>
    <row r="464" spans="1:17" hidden="1">
      <c r="A464">
        <v>624</v>
      </c>
      <c r="B464" t="s">
        <v>864</v>
      </c>
    </row>
    <row r="465" spans="1:19" hidden="1">
      <c r="A465">
        <v>625</v>
      </c>
      <c r="B465" t="s">
        <v>865</v>
      </c>
      <c r="C465">
        <v>44</v>
      </c>
      <c r="D465">
        <v>61</v>
      </c>
      <c r="H465" t="s">
        <v>1629</v>
      </c>
      <c r="I465" t="s">
        <v>1639</v>
      </c>
      <c r="S465" t="s">
        <v>1560</v>
      </c>
    </row>
    <row r="466" spans="1:19" hidden="1">
      <c r="A466">
        <v>626</v>
      </c>
      <c r="B466" t="s">
        <v>866</v>
      </c>
    </row>
    <row r="467" spans="1:19" hidden="1">
      <c r="A467">
        <v>627</v>
      </c>
      <c r="B467" t="s">
        <v>867</v>
      </c>
    </row>
    <row r="468" spans="1:19">
      <c r="A468">
        <v>628</v>
      </c>
      <c r="B468" t="s">
        <v>868</v>
      </c>
      <c r="C468">
        <v>62</v>
      </c>
      <c r="D468">
        <v>41</v>
      </c>
      <c r="H468" t="s">
        <v>1653</v>
      </c>
      <c r="I468" t="s">
        <v>1583</v>
      </c>
      <c r="L468" t="s">
        <v>1674</v>
      </c>
      <c r="Q468" t="str">
        <f>B468&amp;" - "&amp;L468</f>
        <v>seifer - FF8</v>
      </c>
    </row>
    <row r="469" spans="1:19" hidden="1">
      <c r="A469">
        <v>629</v>
      </c>
      <c r="B469" t="s">
        <v>869</v>
      </c>
    </row>
    <row r="470" spans="1:19" hidden="1">
      <c r="A470">
        <v>630</v>
      </c>
      <c r="B470" t="s">
        <v>870</v>
      </c>
    </row>
    <row r="471" spans="1:19" hidden="1">
      <c r="A471">
        <v>631</v>
      </c>
      <c r="B471" t="s">
        <v>871</v>
      </c>
    </row>
    <row r="472" spans="1:19" hidden="1">
      <c r="A472">
        <v>632</v>
      </c>
      <c r="B472" t="s">
        <v>872</v>
      </c>
    </row>
    <row r="473" spans="1:19" hidden="1">
      <c r="A473">
        <v>633</v>
      </c>
      <c r="B473" t="s">
        <v>873</v>
      </c>
    </row>
    <row r="474" spans="1:19" hidden="1">
      <c r="A474">
        <v>634</v>
      </c>
      <c r="B474" t="s">
        <v>874</v>
      </c>
    </row>
    <row r="475" spans="1:19" hidden="1">
      <c r="A475">
        <v>635</v>
      </c>
      <c r="B475" t="s">
        <v>875</v>
      </c>
    </row>
    <row r="476" spans="1:19" hidden="1">
      <c r="A476">
        <v>636</v>
      </c>
      <c r="B476" t="s">
        <v>876</v>
      </c>
    </row>
    <row r="477" spans="1:19" hidden="1">
      <c r="A477">
        <v>637</v>
      </c>
      <c r="B477" t="s">
        <v>877</v>
      </c>
    </row>
    <row r="478" spans="1:19">
      <c r="A478">
        <v>638</v>
      </c>
      <c r="B478" t="s">
        <v>878</v>
      </c>
      <c r="C478">
        <v>1</v>
      </c>
      <c r="D478">
        <v>73</v>
      </c>
      <c r="E478">
        <v>106</v>
      </c>
      <c r="H478" t="s">
        <v>1574</v>
      </c>
      <c r="I478" t="s">
        <v>1645</v>
      </c>
      <c r="J478" t="s">
        <v>1570</v>
      </c>
      <c r="L478" t="s">
        <v>1658</v>
      </c>
      <c r="Q478" t="str">
        <f>B478&amp;" - "&amp;L478</f>
        <v>shopkeeper - FF6</v>
      </c>
    </row>
    <row r="479" spans="1:19">
      <c r="A479">
        <v>639</v>
      </c>
      <c r="B479" t="s">
        <v>879</v>
      </c>
      <c r="C479">
        <v>22</v>
      </c>
      <c r="D479">
        <v>69</v>
      </c>
      <c r="E479">
        <v>106</v>
      </c>
      <c r="H479" t="s">
        <v>1654</v>
      </c>
      <c r="I479" t="s">
        <v>1655</v>
      </c>
      <c r="J479" t="s">
        <v>1570</v>
      </c>
      <c r="L479" t="s">
        <v>1658</v>
      </c>
      <c r="Q479" t="str">
        <f>B479&amp;" - "&amp;L479</f>
        <v>siegfried - FF6</v>
      </c>
    </row>
    <row r="480" spans="1:19" hidden="1">
      <c r="A480">
        <v>640</v>
      </c>
      <c r="B480" t="s">
        <v>880</v>
      </c>
    </row>
    <row r="481" spans="1:17" hidden="1">
      <c r="A481">
        <v>641</v>
      </c>
      <c r="B481" t="s">
        <v>881</v>
      </c>
    </row>
    <row r="482" spans="1:17">
      <c r="A482">
        <v>642</v>
      </c>
      <c r="B482" t="s">
        <v>882</v>
      </c>
      <c r="C482">
        <v>49</v>
      </c>
      <c r="H482" t="s">
        <v>1651</v>
      </c>
      <c r="L482" t="s">
        <v>1677</v>
      </c>
      <c r="Q482" t="str">
        <f>B482&amp;" - "&amp;L482</f>
        <v>slash - Chrono Trigger</v>
      </c>
    </row>
    <row r="483" spans="1:17" hidden="1">
      <c r="A483">
        <v>643</v>
      </c>
      <c r="B483" t="s">
        <v>883</v>
      </c>
      <c r="C483">
        <v>24</v>
      </c>
      <c r="D483">
        <v>34</v>
      </c>
      <c r="H483" t="s">
        <v>1610</v>
      </c>
      <c r="I483" t="s">
        <v>1593</v>
      </c>
    </row>
    <row r="484" spans="1:17" hidden="1">
      <c r="A484">
        <v>644</v>
      </c>
      <c r="B484" t="s">
        <v>884</v>
      </c>
    </row>
    <row r="485" spans="1:17" hidden="1">
      <c r="A485">
        <v>645</v>
      </c>
      <c r="B485" t="s">
        <v>885</v>
      </c>
    </row>
    <row r="486" spans="1:17" hidden="1">
      <c r="A486">
        <v>646</v>
      </c>
      <c r="B486" t="s">
        <v>886</v>
      </c>
    </row>
    <row r="487" spans="1:17" hidden="1">
      <c r="A487">
        <v>647</v>
      </c>
      <c r="B487" t="s">
        <v>887</v>
      </c>
    </row>
    <row r="488" spans="1:17" hidden="1">
      <c r="A488">
        <v>648</v>
      </c>
      <c r="B488" t="s">
        <v>888</v>
      </c>
    </row>
    <row r="489" spans="1:17">
      <c r="A489">
        <v>649</v>
      </c>
      <c r="B489" t="s">
        <v>889</v>
      </c>
      <c r="C489">
        <v>100</v>
      </c>
      <c r="H489" t="s">
        <v>1636</v>
      </c>
      <c r="L489" t="s">
        <v>1676</v>
      </c>
      <c r="Q489" t="str">
        <f>B489&amp;" - "&amp;L489</f>
        <v>sonic - Sonic</v>
      </c>
    </row>
    <row r="490" spans="1:17" hidden="1">
      <c r="A490">
        <v>650</v>
      </c>
      <c r="B490" t="s">
        <v>890</v>
      </c>
    </row>
    <row r="491" spans="1:17" hidden="1">
      <c r="A491">
        <v>651</v>
      </c>
      <c r="B491" t="s">
        <v>891</v>
      </c>
    </row>
    <row r="492" spans="1:17" hidden="1">
      <c r="A492">
        <v>652</v>
      </c>
      <c r="B492" t="s">
        <v>892</v>
      </c>
      <c r="C492">
        <v>36</v>
      </c>
      <c r="H492" t="s">
        <v>1600</v>
      </c>
    </row>
    <row r="493" spans="1:17">
      <c r="A493">
        <v>653</v>
      </c>
      <c r="B493" t="s">
        <v>893</v>
      </c>
      <c r="C493">
        <v>62</v>
      </c>
      <c r="H493" t="s">
        <v>1653</v>
      </c>
      <c r="L493" t="s">
        <v>1674</v>
      </c>
      <c r="Q493" t="str">
        <f>B493&amp;" - "&amp;L493</f>
        <v>squall-uniform - FF8</v>
      </c>
    </row>
    <row r="494" spans="1:17">
      <c r="A494">
        <v>654</v>
      </c>
      <c r="B494" t="s">
        <v>894</v>
      </c>
      <c r="C494">
        <v>62</v>
      </c>
      <c r="H494" t="s">
        <v>1653</v>
      </c>
      <c r="L494" t="s">
        <v>1674</v>
      </c>
      <c r="Q494" t="str">
        <f>B494&amp;" - "&amp;L494</f>
        <v>squall - FF8</v>
      </c>
    </row>
    <row r="495" spans="1:17" hidden="1">
      <c r="A495">
        <v>655</v>
      </c>
      <c r="B495" t="s">
        <v>895</v>
      </c>
    </row>
    <row r="496" spans="1:17">
      <c r="A496">
        <v>656</v>
      </c>
      <c r="B496" t="s">
        <v>896</v>
      </c>
      <c r="C496">
        <v>1</v>
      </c>
      <c r="H496" t="s">
        <v>1574</v>
      </c>
      <c r="L496" t="s">
        <v>1673</v>
      </c>
      <c r="Q496" t="str">
        <f>B496&amp;" - "&amp;L496</f>
        <v>stalfos - Link to the Past</v>
      </c>
    </row>
    <row r="497" spans="1:10" hidden="1">
      <c r="A497">
        <v>657</v>
      </c>
      <c r="B497" t="s">
        <v>897</v>
      </c>
      <c r="C497">
        <v>37</v>
      </c>
      <c r="D497">
        <v>53</v>
      </c>
      <c r="E497">
        <v>123</v>
      </c>
      <c r="H497" t="s">
        <v>1618</v>
      </c>
      <c r="I497" t="s">
        <v>1637</v>
      </c>
      <c r="J497" t="s">
        <v>1633</v>
      </c>
    </row>
    <row r="498" spans="1:10" hidden="1">
      <c r="A498">
        <v>658</v>
      </c>
      <c r="B498" t="s">
        <v>898</v>
      </c>
    </row>
    <row r="499" spans="1:10" hidden="1">
      <c r="A499">
        <v>659</v>
      </c>
      <c r="B499" t="s">
        <v>899</v>
      </c>
    </row>
    <row r="500" spans="1:10" hidden="1">
      <c r="A500">
        <v>660</v>
      </c>
      <c r="B500" t="s">
        <v>900</v>
      </c>
    </row>
    <row r="501" spans="1:10" hidden="1">
      <c r="A501">
        <v>661</v>
      </c>
      <c r="B501" t="s">
        <v>901</v>
      </c>
    </row>
    <row r="502" spans="1:10" hidden="1">
      <c r="A502">
        <v>662</v>
      </c>
      <c r="B502" t="s">
        <v>902</v>
      </c>
    </row>
    <row r="503" spans="1:10" hidden="1">
      <c r="A503">
        <v>663</v>
      </c>
      <c r="B503" t="s">
        <v>903</v>
      </c>
    </row>
    <row r="504" spans="1:10" hidden="1">
      <c r="A504">
        <v>664</v>
      </c>
      <c r="B504" t="s">
        <v>904</v>
      </c>
    </row>
    <row r="505" spans="1:10" hidden="1">
      <c r="A505">
        <v>665</v>
      </c>
      <c r="B505" t="s">
        <v>905</v>
      </c>
    </row>
    <row r="506" spans="1:10" hidden="1">
      <c r="A506">
        <v>666</v>
      </c>
      <c r="B506" t="s">
        <v>906</v>
      </c>
    </row>
    <row r="507" spans="1:10" hidden="1">
      <c r="A507">
        <v>667</v>
      </c>
      <c r="B507" t="s">
        <v>907</v>
      </c>
    </row>
    <row r="508" spans="1:10" hidden="1">
      <c r="A508">
        <v>668</v>
      </c>
      <c r="B508" t="s">
        <v>908</v>
      </c>
    </row>
    <row r="509" spans="1:10" hidden="1">
      <c r="A509">
        <v>669</v>
      </c>
      <c r="B509" t="s">
        <v>909</v>
      </c>
    </row>
    <row r="510" spans="1:10" hidden="1">
      <c r="A510">
        <v>670</v>
      </c>
      <c r="B510" t="s">
        <v>910</v>
      </c>
    </row>
    <row r="511" spans="1:10" hidden="1">
      <c r="A511">
        <v>671</v>
      </c>
      <c r="B511" t="s">
        <v>911</v>
      </c>
    </row>
    <row r="512" spans="1:10" hidden="1">
      <c r="A512">
        <v>672</v>
      </c>
      <c r="B512" t="s">
        <v>912</v>
      </c>
    </row>
    <row r="513" spans="1:17" hidden="1">
      <c r="A513">
        <v>673</v>
      </c>
      <c r="B513" t="s">
        <v>913</v>
      </c>
    </row>
    <row r="514" spans="1:17" hidden="1">
      <c r="A514">
        <v>674</v>
      </c>
      <c r="B514" t="s">
        <v>914</v>
      </c>
    </row>
    <row r="515" spans="1:17" hidden="1">
      <c r="A515">
        <v>675</v>
      </c>
      <c r="B515" t="s">
        <v>915</v>
      </c>
    </row>
    <row r="516" spans="1:17" hidden="1">
      <c r="A516">
        <v>676</v>
      </c>
      <c r="B516" t="s">
        <v>916</v>
      </c>
    </row>
    <row r="517" spans="1:17" hidden="1">
      <c r="A517">
        <v>677</v>
      </c>
      <c r="B517" t="s">
        <v>917</v>
      </c>
    </row>
    <row r="518" spans="1:17" hidden="1">
      <c r="A518">
        <v>678</v>
      </c>
      <c r="B518" t="s">
        <v>918</v>
      </c>
    </row>
    <row r="519" spans="1:17" hidden="1">
      <c r="A519">
        <v>679</v>
      </c>
      <c r="B519" t="s">
        <v>919</v>
      </c>
    </row>
    <row r="520" spans="1:17" hidden="1">
      <c r="A520">
        <v>680</v>
      </c>
      <c r="B520" t="s">
        <v>920</v>
      </c>
    </row>
    <row r="521" spans="1:17" hidden="1">
      <c r="A521">
        <v>681</v>
      </c>
      <c r="B521" t="s">
        <v>921</v>
      </c>
    </row>
    <row r="522" spans="1:17" hidden="1">
      <c r="A522">
        <v>682</v>
      </c>
      <c r="B522" t="s">
        <v>922</v>
      </c>
    </row>
    <row r="523" spans="1:17">
      <c r="A523">
        <v>683</v>
      </c>
      <c r="B523" t="s">
        <v>923</v>
      </c>
      <c r="C523">
        <v>86</v>
      </c>
      <c r="H523" t="s">
        <v>1652</v>
      </c>
      <c r="L523" t="s">
        <v>1659</v>
      </c>
      <c r="Q523" t="str">
        <f>B523&amp;" - "&amp;L523</f>
        <v>tifa-dress - FF7</v>
      </c>
    </row>
    <row r="524" spans="1:17">
      <c r="A524">
        <v>684</v>
      </c>
      <c r="B524" t="s">
        <v>924</v>
      </c>
      <c r="C524">
        <v>86</v>
      </c>
      <c r="H524" t="s">
        <v>1652</v>
      </c>
      <c r="L524" t="s">
        <v>1659</v>
      </c>
      <c r="Q524" t="str">
        <f>B524&amp;" - "&amp;L524</f>
        <v>tifa - FF7</v>
      </c>
    </row>
    <row r="525" spans="1:17" hidden="1">
      <c r="A525">
        <v>685</v>
      </c>
      <c r="B525" t="s">
        <v>925</v>
      </c>
    </row>
    <row r="526" spans="1:17" hidden="1">
      <c r="A526">
        <v>686</v>
      </c>
      <c r="B526" t="s">
        <v>926</v>
      </c>
    </row>
    <row r="527" spans="1:17" hidden="1">
      <c r="A527">
        <v>687</v>
      </c>
      <c r="B527" t="s">
        <v>927</v>
      </c>
    </row>
    <row r="528" spans="1:17" hidden="1">
      <c r="A528">
        <v>688</v>
      </c>
      <c r="B528" t="s">
        <v>928</v>
      </c>
    </row>
    <row r="529" spans="1:17" hidden="1">
      <c r="A529">
        <v>689</v>
      </c>
      <c r="B529" t="s">
        <v>929</v>
      </c>
    </row>
    <row r="530" spans="1:17" hidden="1">
      <c r="A530">
        <v>690</v>
      </c>
      <c r="B530" t="s">
        <v>930</v>
      </c>
    </row>
    <row r="531" spans="1:17" hidden="1">
      <c r="A531">
        <v>691</v>
      </c>
      <c r="B531" t="s">
        <v>931</v>
      </c>
    </row>
    <row r="532" spans="1:17" hidden="1">
      <c r="A532">
        <v>692</v>
      </c>
      <c r="B532" t="s">
        <v>932</v>
      </c>
    </row>
    <row r="533" spans="1:17" hidden="1">
      <c r="A533">
        <v>693</v>
      </c>
      <c r="B533" t="s">
        <v>933</v>
      </c>
    </row>
    <row r="534" spans="1:17" hidden="1">
      <c r="A534">
        <v>694</v>
      </c>
      <c r="B534" t="s">
        <v>934</v>
      </c>
    </row>
    <row r="535" spans="1:17">
      <c r="A535">
        <v>695</v>
      </c>
      <c r="B535" t="s">
        <v>935</v>
      </c>
      <c r="C535">
        <v>4</v>
      </c>
      <c r="H535" t="s">
        <v>1577</v>
      </c>
      <c r="L535" t="s">
        <v>1658</v>
      </c>
      <c r="Q535" t="str">
        <f>B535&amp;" - "&amp;L535</f>
        <v>trainconductor - FF6</v>
      </c>
    </row>
    <row r="536" spans="1:17" hidden="1">
      <c r="A536">
        <v>696</v>
      </c>
      <c r="B536" t="s">
        <v>936</v>
      </c>
      <c r="C536">
        <v>39</v>
      </c>
      <c r="H536" t="s">
        <v>1623</v>
      </c>
    </row>
    <row r="537" spans="1:17" hidden="1">
      <c r="A537">
        <v>697</v>
      </c>
      <c r="B537" t="s">
        <v>937</v>
      </c>
    </row>
    <row r="538" spans="1:17">
      <c r="A538">
        <v>698</v>
      </c>
      <c r="B538" t="s">
        <v>938</v>
      </c>
      <c r="C538">
        <v>1</v>
      </c>
      <c r="H538" t="s">
        <v>1574</v>
      </c>
      <c r="L538" t="s">
        <v>1658</v>
      </c>
      <c r="Q538" t="str">
        <f>B538&amp;" - "&amp;L538</f>
        <v>turtle - FF6</v>
      </c>
    </row>
    <row r="539" spans="1:17" hidden="1">
      <c r="A539">
        <v>699</v>
      </c>
      <c r="B539" t="s">
        <v>939</v>
      </c>
    </row>
    <row r="540" spans="1:17" hidden="1">
      <c r="A540">
        <v>700</v>
      </c>
      <c r="B540" t="s">
        <v>940</v>
      </c>
    </row>
    <row r="541" spans="1:17" hidden="1">
      <c r="A541">
        <v>701</v>
      </c>
      <c r="B541" t="s">
        <v>941</v>
      </c>
    </row>
    <row r="542" spans="1:17" hidden="1">
      <c r="A542">
        <v>702</v>
      </c>
      <c r="B542" t="s">
        <v>942</v>
      </c>
    </row>
    <row r="543" spans="1:17" hidden="1">
      <c r="A543">
        <v>703</v>
      </c>
      <c r="B543" t="s">
        <v>943</v>
      </c>
    </row>
    <row r="544" spans="1:17" hidden="1">
      <c r="A544">
        <v>704</v>
      </c>
      <c r="B544" t="s">
        <v>944</v>
      </c>
    </row>
    <row r="545" spans="1:17" hidden="1">
      <c r="A545">
        <v>705</v>
      </c>
      <c r="B545" t="s">
        <v>945</v>
      </c>
    </row>
    <row r="546" spans="1:17" hidden="1">
      <c r="A546">
        <v>706</v>
      </c>
      <c r="B546" t="s">
        <v>946</v>
      </c>
      <c r="C546">
        <v>2</v>
      </c>
      <c r="H546" t="s">
        <v>1575</v>
      </c>
    </row>
    <row r="547" spans="1:17" hidden="1">
      <c r="A547">
        <v>707</v>
      </c>
      <c r="B547" t="s">
        <v>947</v>
      </c>
    </row>
    <row r="548" spans="1:17" hidden="1">
      <c r="A548">
        <v>708</v>
      </c>
      <c r="B548" t="s">
        <v>948</v>
      </c>
    </row>
    <row r="549" spans="1:17" hidden="1">
      <c r="A549">
        <v>709</v>
      </c>
      <c r="B549" t="s">
        <v>949</v>
      </c>
    </row>
    <row r="550" spans="1:17">
      <c r="A550">
        <v>710</v>
      </c>
      <c r="B550" t="s">
        <v>950</v>
      </c>
      <c r="C550">
        <v>34</v>
      </c>
      <c r="D550">
        <v>23</v>
      </c>
      <c r="H550" t="s">
        <v>1593</v>
      </c>
      <c r="I550" t="s">
        <v>1616</v>
      </c>
      <c r="L550" t="s">
        <v>1658</v>
      </c>
      <c r="Q550" t="str">
        <f>B550&amp;" - "&amp;L550</f>
        <v>vargas - FF6</v>
      </c>
    </row>
    <row r="551" spans="1:17" hidden="1">
      <c r="A551">
        <v>711</v>
      </c>
      <c r="B551" t="s">
        <v>951</v>
      </c>
    </row>
    <row r="552" spans="1:17" hidden="1">
      <c r="A552">
        <v>712</v>
      </c>
      <c r="B552" t="s">
        <v>952</v>
      </c>
    </row>
    <row r="553" spans="1:17">
      <c r="A553">
        <v>713</v>
      </c>
      <c r="B553" t="s">
        <v>953</v>
      </c>
      <c r="C553">
        <v>86</v>
      </c>
      <c r="H553" t="s">
        <v>1652</v>
      </c>
      <c r="L553" t="s">
        <v>1659</v>
      </c>
      <c r="Q553" t="str">
        <f>B553&amp;" - "&amp;L553</f>
        <v>vincent - FF7</v>
      </c>
    </row>
    <row r="554" spans="1:17" hidden="1">
      <c r="A554">
        <v>714</v>
      </c>
      <c r="B554" t="s">
        <v>954</v>
      </c>
    </row>
    <row r="555" spans="1:17">
      <c r="A555">
        <v>715</v>
      </c>
      <c r="B555" t="s">
        <v>955</v>
      </c>
      <c r="C555">
        <v>106</v>
      </c>
      <c r="D555">
        <v>41</v>
      </c>
      <c r="E555">
        <v>22</v>
      </c>
      <c r="H555" t="s">
        <v>1570</v>
      </c>
      <c r="I555" t="s">
        <v>1583</v>
      </c>
      <c r="J555" t="s">
        <v>1654</v>
      </c>
      <c r="L555" t="s">
        <v>1658</v>
      </c>
      <c r="Q555" t="str">
        <f>B555&amp;" - "&amp;L555</f>
        <v>vomammoth - FF6</v>
      </c>
    </row>
    <row r="556" spans="1:17" hidden="1">
      <c r="A556">
        <v>716</v>
      </c>
      <c r="B556" t="s">
        <v>956</v>
      </c>
    </row>
    <row r="557" spans="1:17" hidden="1">
      <c r="A557">
        <v>717</v>
      </c>
      <c r="B557" t="s">
        <v>957</v>
      </c>
    </row>
    <row r="558" spans="1:17" hidden="1">
      <c r="A558">
        <v>718</v>
      </c>
      <c r="B558" t="s">
        <v>958</v>
      </c>
    </row>
    <row r="559" spans="1:17" hidden="1">
      <c r="A559">
        <v>719</v>
      </c>
      <c r="B559" t="s">
        <v>959</v>
      </c>
    </row>
    <row r="560" spans="1:17">
      <c r="A560">
        <v>720</v>
      </c>
      <c r="B560" t="s">
        <v>960</v>
      </c>
      <c r="C560">
        <v>0</v>
      </c>
      <c r="D560">
        <v>118</v>
      </c>
      <c r="H560" t="s">
        <v>1573</v>
      </c>
      <c r="I560" t="s">
        <v>1656</v>
      </c>
      <c r="L560" t="s">
        <v>1674</v>
      </c>
      <c r="Q560" t="str">
        <f>B560&amp;" - "&amp;L560</f>
        <v>ward-soldier - FF8</v>
      </c>
    </row>
    <row r="561" spans="1:17" hidden="1">
      <c r="A561">
        <v>721</v>
      </c>
      <c r="B561" t="s">
        <v>961</v>
      </c>
    </row>
    <row r="562" spans="1:17" hidden="1">
      <c r="A562">
        <v>722</v>
      </c>
      <c r="B562" t="s">
        <v>962</v>
      </c>
    </row>
    <row r="563" spans="1:17" hidden="1">
      <c r="A563">
        <v>723</v>
      </c>
      <c r="B563" t="s">
        <v>963</v>
      </c>
    </row>
    <row r="564" spans="1:17" hidden="1">
      <c r="A564">
        <v>724</v>
      </c>
      <c r="B564" t="s">
        <v>964</v>
      </c>
    </row>
    <row r="565" spans="1:17" hidden="1">
      <c r="A565">
        <v>725</v>
      </c>
      <c r="B565" t="s">
        <v>965</v>
      </c>
    </row>
    <row r="566" spans="1:17" hidden="1">
      <c r="A566">
        <v>726</v>
      </c>
      <c r="B566" t="s">
        <v>966</v>
      </c>
    </row>
    <row r="567" spans="1:17" hidden="1">
      <c r="A567">
        <v>727</v>
      </c>
      <c r="B567" t="s">
        <v>967</v>
      </c>
    </row>
    <row r="568" spans="1:17" hidden="1">
      <c r="A568">
        <v>728</v>
      </c>
      <c r="B568" t="s">
        <v>968</v>
      </c>
      <c r="C568">
        <v>27</v>
      </c>
      <c r="H568" t="s">
        <v>1621</v>
      </c>
    </row>
    <row r="569" spans="1:17" hidden="1">
      <c r="A569">
        <v>729</v>
      </c>
      <c r="B569" t="s">
        <v>969</v>
      </c>
    </row>
    <row r="570" spans="1:17" hidden="1">
      <c r="A570">
        <v>730</v>
      </c>
      <c r="B570" t="s">
        <v>970</v>
      </c>
    </row>
    <row r="571" spans="1:17" hidden="1">
      <c r="A571">
        <v>731</v>
      </c>
      <c r="B571" t="s">
        <v>971</v>
      </c>
    </row>
    <row r="572" spans="1:17">
      <c r="A572">
        <v>732</v>
      </c>
      <c r="B572" t="s">
        <v>972</v>
      </c>
      <c r="C572">
        <v>0</v>
      </c>
      <c r="H572" t="s">
        <v>1573</v>
      </c>
      <c r="L572" t="s">
        <v>1678</v>
      </c>
      <c r="Q572" t="str">
        <f>B572&amp;" - "&amp;L572</f>
        <v>yoshi - Mario</v>
      </c>
    </row>
    <row r="573" spans="1:17" hidden="1">
      <c r="A573">
        <v>733</v>
      </c>
      <c r="B573" t="s">
        <v>973</v>
      </c>
    </row>
    <row r="574" spans="1:17" hidden="1">
      <c r="A574">
        <v>734</v>
      </c>
      <c r="B574" t="s">
        <v>974</v>
      </c>
    </row>
    <row r="575" spans="1:17" hidden="1">
      <c r="A575">
        <v>735</v>
      </c>
      <c r="B575" t="s">
        <v>975</v>
      </c>
    </row>
    <row r="576" spans="1:17" hidden="1">
      <c r="A576">
        <v>736</v>
      </c>
      <c r="B576" t="s">
        <v>976</v>
      </c>
    </row>
    <row r="577" spans="1:17" hidden="1">
      <c r="A577">
        <v>737</v>
      </c>
      <c r="B577" t="s">
        <v>977</v>
      </c>
    </row>
    <row r="578" spans="1:17">
      <c r="A578">
        <v>738</v>
      </c>
      <c r="B578" t="s">
        <v>978</v>
      </c>
      <c r="C578">
        <v>46</v>
      </c>
      <c r="D578">
        <v>145</v>
      </c>
      <c r="H578" t="s">
        <v>1598</v>
      </c>
      <c r="I578" t="s">
        <v>1627</v>
      </c>
      <c r="L578" t="s">
        <v>1673</v>
      </c>
      <c r="Q578" t="str">
        <f>B578&amp;" - "&amp;L578</f>
        <v>zelda - Link to the Past</v>
      </c>
    </row>
    <row r="579" spans="1:17">
      <c r="A579">
        <v>739</v>
      </c>
      <c r="B579" t="s">
        <v>979</v>
      </c>
      <c r="C579">
        <v>41</v>
      </c>
      <c r="D579">
        <v>62</v>
      </c>
      <c r="H579" t="s">
        <v>1583</v>
      </c>
      <c r="I579" t="s">
        <v>1653</v>
      </c>
      <c r="L579" t="s">
        <v>1674</v>
      </c>
      <c r="Q579" t="str">
        <f>B579&amp;" - "&amp;L579</f>
        <v>zell - FF8</v>
      </c>
    </row>
    <row r="580" spans="1:17" hidden="1">
      <c r="A580">
        <v>740</v>
      </c>
      <c r="B580" t="s">
        <v>980</v>
      </c>
    </row>
    <row r="581" spans="1:17" hidden="1">
      <c r="A581">
        <v>741</v>
      </c>
      <c r="B581" t="s">
        <v>981</v>
      </c>
    </row>
    <row r="582" spans="1:17" hidden="1">
      <c r="A582">
        <v>742</v>
      </c>
      <c r="B582" t="s">
        <v>982</v>
      </c>
    </row>
  </sheetData>
  <autoFilter ref="A1:Q582">
    <filterColumn colId="7">
      <customFilters>
        <customFilter operator="notEqual" val=" "/>
      </customFilters>
    </filterColumn>
    <filterColumn colId="11">
      <customFilters>
        <customFilter operator="notEqual" val=" "/>
      </customFilters>
    </filterColumn>
    <filterColumn colId="13"/>
    <filterColumn colId="14"/>
    <filterColumn colId="15"/>
  </autoFilter>
  <hyperlinks>
    <hyperlink ref="M215" r:id="rId1"/>
    <hyperlink ref="N215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Listing</vt:lpstr>
      <vt:lpstr>Randomizer</vt:lpstr>
      <vt:lpstr>Palette Match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Franklin</dc:creator>
  <cp:lastModifiedBy>Franklin</cp:lastModifiedBy>
  <dcterms:created xsi:type="dcterms:W3CDTF">2022-07-30T04:55:47Z</dcterms:created>
  <dcterms:modified xsi:type="dcterms:W3CDTF">2023-01-23T01:26:38Z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e4db608-ddec-4a44-8ad7-7d5a79b7448e_Enabled">
    <vt:lpwstr>true</vt:lpwstr>
  </property>
  <property fmtid="{D5CDD505-2E9C-101B-9397-08002B2CF9AE}" pid="3" name="MSIP_Label_6e4db608-ddec-4a44-8ad7-7d5a79b7448e_SetDate">
    <vt:lpwstr>2022-08-04T22:54:21Z</vt:lpwstr>
  </property>
  <property fmtid="{D5CDD505-2E9C-101B-9397-08002B2CF9AE}" pid="4" name="MSIP_Label_6e4db608-ddec-4a44-8ad7-7d5a79b7448e_Method">
    <vt:lpwstr>Standard</vt:lpwstr>
  </property>
  <property fmtid="{D5CDD505-2E9C-101B-9397-08002B2CF9AE}" pid="5" name="MSIP_Label_6e4db608-ddec-4a44-8ad7-7d5a79b7448e_Name">
    <vt:lpwstr>Internal</vt:lpwstr>
  </property>
  <property fmtid="{D5CDD505-2E9C-101B-9397-08002B2CF9AE}" pid="6" name="MSIP_Label_6e4db608-ddec-4a44-8ad7-7d5a79b7448e_SiteId">
    <vt:lpwstr>fd799da1-bfc1-4234-a91c-72b3a1cb9e26</vt:lpwstr>
  </property>
  <property fmtid="{D5CDD505-2E9C-101B-9397-08002B2CF9AE}" pid="7" name="MSIP_Label_6e4db608-ddec-4a44-8ad7-7d5a79b7448e_ActionId">
    <vt:lpwstr>490b2345-26f6-4f58-a272-d45002964e19</vt:lpwstr>
  </property>
  <property fmtid="{D5CDD505-2E9C-101B-9397-08002B2CF9AE}" pid="8" name="MSIP_Label_6e4db608-ddec-4a44-8ad7-7d5a79b7448e_ContentBits">
    <vt:lpwstr>0</vt:lpwstr>
  </property>
</Properties>
</file>